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Model" sheetId="2" state="visible" r:id="rId4"/>
    <sheet name="DCF" sheetId="3" state="visible" r:id="rId5"/>
    <sheet name="Quarterly" sheetId="4" state="visible" r:id="rId6"/>
    <sheet name="Reverse_DCF_Gri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5" authorId="0">
      <text>
        <r>
          <rPr>
            <sz val="10"/>
            <rFont val="Arial"/>
            <family val="2"/>
          </rPr>
          <t xml:space="preserve">Assumption - check dividend history in the annual report.</t>
        </r>
      </text>
    </comment>
  </commentList>
</comments>
</file>

<file path=xl/sharedStrings.xml><?xml version="1.0" encoding="utf-8"?>
<sst xmlns="http://schemas.openxmlformats.org/spreadsheetml/2006/main" count="271" uniqueCount="255">
  <si>
    <t xml:space="preserve">M M Forgings - Equity valuation: DCF, reverse DCF and the credit-vs-equity gap</t>
  </si>
  <si>
    <t xml:space="preserve">Prepared by Gaurav Waghmode | Price date 29-Sep-2026 | Student valuation exercise - not investment advice; author is not SEBI-registered</t>
  </si>
  <si>
    <t xml:space="preserve">CMP (Rs)</t>
  </si>
  <si>
    <t xml:space="preserve">DCF value per share - active scenario (Rs)</t>
  </si>
  <si>
    <t xml:space="preserve">Upside / (downside)</t>
  </si>
  <si>
    <t xml:space="preserve">WACC</t>
  </si>
  <si>
    <t xml:space="preserve">Terminal growth / RONIC</t>
  </si>
  <si>
    <t xml:space="preserve">Market EV / TTM EBITDA</t>
  </si>
  <si>
    <t xml:space="preserve">Exit EV/EBITDA the price implies (FY31E)</t>
  </si>
  <si>
    <t xml:space="preserve">Steady-state EBITDA margin the price implies</t>
  </si>
  <si>
    <t xml:space="preserve">FY26 post-tax ROIC</t>
  </si>
  <si>
    <t xml:space="preserve">FY26 interest coverage (EBITDA / interest)</t>
  </si>
  <si>
    <t xml:space="preserve">FY26 net debt / EBITDA</t>
  </si>
  <si>
    <t xml:space="preserve">Scenario running</t>
  </si>
  <si>
    <t xml:space="preserve">THE QUESTION THIS MODEL ANSWERS</t>
  </si>
  <si>
    <t xml:space="preserve">CARE rates MMFL A (Stable): lenders are comfortable. Equity investors pay ~14x EV/EBITDA and ~3x book for a business earning ROIC below its cost of capital.</t>
  </si>
  <si>
    <t xml:space="preserve">Is that a mistake, or is the market pricing a recovery? The reverse-DCF block on the DCF sheet shows exactly what has to go right.</t>
  </si>
  <si>
    <t xml:space="preserve">HOW TO USE</t>
  </si>
  <si>
    <t xml:space="preserve">1. Yellow cells on Model (growth, margin, capex, NWC) and DCF (beta, cost of debt, g, RONIC) drive everything.</t>
  </si>
  <si>
    <t xml:space="preserve">2. Flip Model!B3 (1 Bear / 2 Base / 3 Bull). Sensitivity tables on the DCF sheet are live formulas.</t>
  </si>
  <si>
    <t xml:space="preserve">3. Reverse_DCF_Grid maps value across revenue CAGR x EBITDA margin (live). mmfl_dcf.py is an independent Python replica that re-computes everything and checks Excel.</t>
  </si>
  <si>
    <t xml:space="preserve">4. After each quarterly result, add the quarter on Quarterly and re-check the FY27E revenue run-rate.</t>
  </si>
  <si>
    <t xml:space="preserve">COLOUR CODE: blue = hard-coded input | black = formula | green = link to another sheet | yellow fill = key assumption</t>
  </si>
  <si>
    <t xml:space="preserve">SOURCES</t>
  </si>
  <si>
    <t xml:space="preserve">Screener.in consolidated financials, ratios, quarterly results and shareholding (fetched 29-Sep-2026).</t>
  </si>
  <si>
    <t xml:space="preserve">CARE Ratings press releases (Apr and Jun 2026) for the A (Stable) rating and PBILDT definition.</t>
  </si>
  <si>
    <t xml:space="preserve">Trading Economics: India 10Y G-sec ~7.1% (15-Sep-2026).</t>
  </si>
  <si>
    <t xml:space="preserve">VERIFY every blue number against the FY26 annual report (cash balance, tax note, capitalised interest) before an interview.</t>
  </si>
  <si>
    <t xml:space="preserve">M M Forgings Ltd (NSE: MMFL) - Operating model (consolidated)</t>
  </si>
  <si>
    <t xml:space="preserve">History: Screener.in (consolidated), fetched 29-Sep-2026. FY27E-FY31E = analyst estimates. Blue = input, black = formula, green = link, yellow = key assumption.</t>
  </si>
  <si>
    <t xml:space="preserve">Scenario switch (1 Bear, 2 Base, 3 Bull)</t>
  </si>
  <si>
    <t xml:space="preserve">Bear</t>
  </si>
  <si>
    <t xml:space="preserve">Base</t>
  </si>
  <si>
    <t xml:space="preserve">Bull</t>
  </si>
  <si>
    <t xml:space="preserve">Active</t>
  </si>
  <si>
    <t xml:space="preserve">Revenue growth delta (added every year)</t>
  </si>
  <si>
    <t xml:space="preserve">Dividend payout (forecast)</t>
  </si>
  <si>
    <t xml:space="preserve">EBITDA margin delta</t>
  </si>
  <si>
    <t xml:space="preserve">NWC % of revenue delta</t>
  </si>
  <si>
    <t xml:space="preserve">INR crore unless stated</t>
  </si>
  <si>
    <t xml:space="preserve">FY22</t>
  </si>
  <si>
    <t xml:space="preserve">FY23</t>
  </si>
  <si>
    <t xml:space="preserve">FY24</t>
  </si>
  <si>
    <t xml:space="preserve">FY25</t>
  </si>
  <si>
    <t xml:space="preserve">FY26</t>
  </si>
  <si>
    <t xml:space="preserve">FY27E</t>
  </si>
  <si>
    <t xml:space="preserve">FY28E</t>
  </si>
  <si>
    <t xml:space="preserve">FY29E</t>
  </si>
  <si>
    <t xml:space="preserve">FY30E</t>
  </si>
  <si>
    <t xml:space="preserve">FY31E</t>
  </si>
  <si>
    <t xml:space="preserve">Source / comment</t>
  </si>
  <si>
    <t xml:space="preserve">INCOME STATEMENT</t>
  </si>
  <si>
    <t xml:space="preserve">Revenue from operations</t>
  </si>
  <si>
    <t xml:space="preserve">Screener consolidated P&amp;L. TTM (to Jun-26) Rs1,649cr; Q1FY27 Rs420cr (+16% YoY).</t>
  </si>
  <si>
    <t xml:space="preserve">  Revenue growth (base input; scenario delta added)</t>
  </si>
  <si>
    <t xml:space="preserve">Capacity from FY25-26 capex (CWIP Rs335cr at FY26) ramps up; Q1FY27 +16% YoY.</t>
  </si>
  <si>
    <t xml:space="preserve">EBITDA (= PBILDT in rating-agency terms)</t>
  </si>
  <si>
    <t xml:space="preserve">  EBITDA margin - base input</t>
  </si>
  <si>
    <t xml:space="preserve">FY22-FY26 range 17.6%-19.4%; Q1FY27 17.9%. Base assumes some operating leverage as new capacity fills.</t>
  </si>
  <si>
    <t xml:space="preserve">EBITDA margin</t>
  </si>
  <si>
    <t xml:space="preserve">Depreciation &amp; amortisation</t>
  </si>
  <si>
    <t xml:space="preserve">  D&amp;A % of revenue</t>
  </si>
  <si>
    <t xml:space="preserve">Steps up in FY27 as the Rs335cr CWIP is capitalised.</t>
  </si>
  <si>
    <t xml:space="preserve">EBIT</t>
  </si>
  <si>
    <t xml:space="preserve">Other income</t>
  </si>
  <si>
    <t xml:space="preserve">FY27E includes Rs63cr one-off booked in Q1FY27 (non-operating: excluded from FCFF).</t>
  </si>
  <si>
    <t xml:space="preserve">Finance costs</t>
  </si>
  <si>
    <t xml:space="preserve">  Interest rate on average debt</t>
  </si>
  <si>
    <t xml:space="preserve">FY26 book rate ~6.4% looks low partly because interest on CWIP is capitalised (Screener flag). Forecast 7.0%.</t>
  </si>
  <si>
    <t xml:space="preserve">Profit before tax</t>
  </si>
  <si>
    <t xml:space="preserve">History = reported (EBIT + OI - interest differs by &lt;=1 from rounding).</t>
  </si>
  <si>
    <t xml:space="preserve">Tax</t>
  </si>
  <si>
    <t xml:space="preserve">  Effective tax rate</t>
  </si>
  <si>
    <t xml:space="preserve">FY26 14%, Q1FY27 1%: check the deferred-tax note in the AR. Forecast uses 25.17% statutory rate (conservative).</t>
  </si>
  <si>
    <t xml:space="preserve">Net profit (PAT)</t>
  </si>
  <si>
    <t xml:space="preserve">  PAT growth</t>
  </si>
  <si>
    <t xml:space="preserve">EPS (Rs)</t>
  </si>
  <si>
    <t xml:space="preserve">Current share count (4.82cr) used for all years.</t>
  </si>
  <si>
    <t xml:space="preserve">BALANCE SHEET &amp; CASH FLOW</t>
  </si>
  <si>
    <t xml:space="preserve">Net fixed assets + CWIP</t>
  </si>
  <si>
    <t xml:space="preserve">Net block + capital work-in-progress (FY26: 1,101 + 335).</t>
  </si>
  <si>
    <t xml:space="preserve">Capex</t>
  </si>
  <si>
    <t xml:space="preserve">History = cash from operations less free cash flow (Screener).</t>
  </si>
  <si>
    <t xml:space="preserve">  Capex % of revenue</t>
  </si>
  <si>
    <t xml:space="preserve">FY22-26 average ~15% (expansion cycle). Forecast: cycle ends, but capex stays above D&amp;A to support growth.</t>
  </si>
  <si>
    <t xml:space="preserve">Net working capital &amp; other net assets</t>
  </si>
  <si>
    <t xml:space="preserve">Other assets less other liabilities (Screener BS). Includes cash, which Screener does not split out.</t>
  </si>
  <si>
    <t xml:space="preserve">  NWC % of revenue (base input; delta added)</t>
  </si>
  <si>
    <t xml:space="preserve">Rose from 37% (FY23) to 48% (FY26) as debtor days went 49-&gt;96. Base assumes partial normalisation.</t>
  </si>
  <si>
    <t xml:space="preserve">Investments</t>
  </si>
  <si>
    <t xml:space="preserve">Borrowings</t>
  </si>
  <si>
    <t xml:space="preserve">Held flat; surplus cash / funding gap shows in the balancing row.</t>
  </si>
  <si>
    <t xml:space="preserve">Dividends paid (forecast)</t>
  </si>
  <si>
    <t xml:space="preserve">Net worth</t>
  </si>
  <si>
    <t xml:space="preserve">Surplus cash / (funding gap) - balancing item</t>
  </si>
  <si>
    <t xml:space="preserve">History ~0 (rounding). Simplification: no interest earned on surplus / paid on gap.</t>
  </si>
  <si>
    <t xml:space="preserve">Cash from operations (reported)</t>
  </si>
  <si>
    <t xml:space="preserve">Free cash flow (reported: CFO - capex)</t>
  </si>
  <si>
    <t xml:space="preserve">FREE CASH FLOW TO FIRM (FCFF)</t>
  </si>
  <si>
    <t xml:space="preserve">NOPAT = EBIT x (1 - tax)</t>
  </si>
  <si>
    <t xml:space="preserve">History taxed at the statutory rate for comparability.</t>
  </si>
  <si>
    <t xml:space="preserve">Increase in NWC</t>
  </si>
  <si>
    <t xml:space="preserve">FCFF = NOPAT + D&amp;A - capex - increase in NWC</t>
  </si>
  <si>
    <t xml:space="preserve">RETURNS &amp; CREDIT METRICS</t>
  </si>
  <si>
    <t xml:space="preserve">Capital employed (net worth + debt)</t>
  </si>
  <si>
    <t xml:space="preserve">Pre-tax ROCE = (PBT + interest) / avg capital employed</t>
  </si>
  <si>
    <t xml:space="preserve">Screener definition (FY26 reported 9%).</t>
  </si>
  <si>
    <t xml:space="preserve">Invested capital (fixed assets + CWIP + NWC)</t>
  </si>
  <si>
    <t xml:space="preserve">Post-tax ROIC = NOPAT / avg invested capital</t>
  </si>
  <si>
    <t xml:space="preserve">Value is created only when ROIC &gt; WACC (see DCF sheet).</t>
  </si>
  <si>
    <t xml:space="preserve">ROE = PAT / avg net worth</t>
  </si>
  <si>
    <t xml:space="preserve">Net debt (debt - investments - surplus cash)</t>
  </si>
  <si>
    <t xml:space="preserve">Net debt / EBITDA (x)</t>
  </si>
  <si>
    <t xml:space="preserve">Interest coverage = EBITDA / interest (x)</t>
  </si>
  <si>
    <t xml:space="preserve">CARE-style PBILDT / interest: FY22 7.5x -&gt; FY26 3.6x.</t>
  </si>
  <si>
    <t xml:space="preserve">Debt / equity (x)</t>
  </si>
  <si>
    <t xml:space="preserve">Book value per share (Rs)</t>
  </si>
  <si>
    <t xml:space="preserve">MMFL - DCF (FCFF), reverse DCF and sensitivities</t>
  </si>
  <si>
    <t xml:space="preserve">Valuation date 30-Sep-2026. Mid-period discounting; FY27E counts only the half-year after the valuation date.</t>
  </si>
  <si>
    <t xml:space="preserve">INPUTS &amp; WACC</t>
  </si>
  <si>
    <t xml:space="preserve">CMP (Rs), 29-Sep-2026</t>
  </si>
  <si>
    <t xml:space="preserve">Shares outstanding (crore)</t>
  </si>
  <si>
    <t xml:space="preserve">Market capitalisation (Rs cr)</t>
  </si>
  <si>
    <t xml:space="preserve">Risk-free rate (10Y G-sec, Sep-2026)</t>
  </si>
  <si>
    <t xml:space="preserve">Equity risk premium (India)</t>
  </si>
  <si>
    <t xml:space="preserve">Unlevered (asset) beta</t>
  </si>
  <si>
    <t xml:space="preserve">Cyclical auto-component business; relevered at market D/E. Try 0.8-1.2.</t>
  </si>
  <si>
    <t xml:space="preserve">Borrowings FY26 (Rs cr)</t>
  </si>
  <si>
    <t xml:space="preserve">Statutory tax rate</t>
  </si>
  <si>
    <t xml:space="preserve">Debt / equity (market values)</t>
  </si>
  <si>
    <t xml:space="preserve">Levered beta = Bu x (1 + (1 - t) x D/E)</t>
  </si>
  <si>
    <t xml:space="preserve">Cost of equity (CAPM) = Rf + B x ERP</t>
  </si>
  <si>
    <t xml:space="preserve">Pre-tax cost of debt</t>
  </si>
  <si>
    <t xml:space="preserve">A-rated corporate marginal borrowing cost; FY26 book rate is lower because some interest is capitalised.</t>
  </si>
  <si>
    <t xml:space="preserve">Post-tax cost of debt</t>
  </si>
  <si>
    <t xml:space="preserve">Weight of equity</t>
  </si>
  <si>
    <t xml:space="preserve">Weight of debt</t>
  </si>
  <si>
    <t xml:space="preserve">Terminal growth (g)</t>
  </si>
  <si>
    <t xml:space="preserve">Below nominal GDP growth (~10%): a mature auto supplier.</t>
  </si>
  <si>
    <t xml:space="preserve">Return on new invested capital in terminal period (RONIC)</t>
  </si>
  <si>
    <t xml:space="preserve">Value-driver formula: reinvestment = g / RONIC. RONIC above WACC means growth adds value.</t>
  </si>
  <si>
    <t xml:space="preserve">FCFF (from Model)</t>
  </si>
  <si>
    <t xml:space="preserve">Fraction of year after valuation date</t>
  </si>
  <si>
    <t xml:space="preserve">FCFF to be valued</t>
  </si>
  <si>
    <t xml:space="preserve">Discount period (years, mid-period)</t>
  </si>
  <si>
    <t xml:space="preserve">Discount factor at WACC</t>
  </si>
  <si>
    <t xml:space="preserve">PV of FCFF</t>
  </si>
  <si>
    <t xml:space="preserve">TERMINAL VALUE (value-driver formula: TV = NOPAT x (1 - g/RONIC) / (WACC - g))</t>
  </si>
  <si>
    <t xml:space="preserve">NOPAT FY32E = NOPAT FY31E x (1 + g)</t>
  </si>
  <si>
    <t xml:space="preserve">Reinvestment rate = g / RONIC</t>
  </si>
  <si>
    <t xml:space="preserve">FCFF FY32E = NOPAT x (1 - reinvestment rate)</t>
  </si>
  <si>
    <t xml:space="preserve">Terminal value at Mar-31 = FCFF FY32E / (WACC - g)</t>
  </si>
  <si>
    <t xml:space="preserve">Discount factor (4.5 years)</t>
  </si>
  <si>
    <t xml:space="preserve">PV of terminal value</t>
  </si>
  <si>
    <t xml:space="preserve">Implied exit EV/EBITDA on FY31E (sanity check)</t>
  </si>
  <si>
    <t xml:space="preserve">VALUATION</t>
  </si>
  <si>
    <t xml:space="preserve">Sum of PV of FCFF</t>
  </si>
  <si>
    <t xml:space="preserve">Enterprise value (EV)</t>
  </si>
  <si>
    <t xml:space="preserve">Terminal value as % of EV</t>
  </si>
  <si>
    <t xml:space="preserve">Less: borrowings (FY26)</t>
  </si>
  <si>
    <t xml:space="preserve">Add: investments (FY26)</t>
  </si>
  <si>
    <t xml:space="preserve">Equity value</t>
  </si>
  <si>
    <t xml:space="preserve">DCF value per share (Rs)</t>
  </si>
  <si>
    <t xml:space="preserve">Upside / (downside) vs CMP</t>
  </si>
  <si>
    <t xml:space="preserve">EV / EBITDA FY27E at DCF value</t>
  </si>
  <si>
    <t xml:space="preserve">P/E FY27E at DCF value</t>
  </si>
  <si>
    <t xml:space="preserve">WHAT THE MARKET PRICE IMPLIES (reverse DCF, holding our forecast FCFF and WACC)</t>
  </si>
  <si>
    <t xml:space="preserve">Market EV = market cap + debt - investments</t>
  </si>
  <si>
    <t xml:space="preserve">EV / EBITDA (TTM to Jun-26)</t>
  </si>
  <si>
    <t xml:space="preserve">P/E on FY26 EPS</t>
  </si>
  <si>
    <t xml:space="preserve">P/B on FY26 book</t>
  </si>
  <si>
    <t xml:space="preserve">PV of terminal value the market needs = market EV - PV(FCFF)</t>
  </si>
  <si>
    <t xml:space="preserve">Terminal value needed at Mar-31</t>
  </si>
  <si>
    <t xml:space="preserve">Implied exit EV/EBITDA on FY31E</t>
  </si>
  <si>
    <t xml:space="preserve">Implied FY32E NOPAT (at our g and RONIC)</t>
  </si>
  <si>
    <t xml:space="preserve">  ... as a multiple of our base FY32E NOPAT</t>
  </si>
  <si>
    <t xml:space="preserve">Implied steady-state EBITDA margin on FY31E revenue</t>
  </si>
  <si>
    <t xml:space="preserve">Implied FY31E post-tax ROIC on our invested capital</t>
  </si>
  <si>
    <t xml:space="preserve">Implied perpetual growth (Gordon on FY31E FCFF)</t>
  </si>
  <si>
    <t xml:space="preserve">SENSITIVITY 1: value per share (Rs) - WACC (rows) x terminal growth g (columns); live formulas</t>
  </si>
  <si>
    <t xml:space="preserve">SENSITIVITY 2: value per share (Rs) - RONIC (rows) x terminal growth g (columns), at base WACC</t>
  </si>
  <si>
    <t xml:space="preserve">Green cells = value at or above the current price. Note: RONIC 10% &lt; WACC means growth destroys value, so higher g lowers value.</t>
  </si>
  <si>
    <t xml:space="preserve">RETURN CHECK: unlevered IRR if you buy the firm at today's EV, receive base FCFF and exit at an EV/EBITDA multiple in Mar-31</t>
  </si>
  <si>
    <t xml:space="preserve">Exit EV/EBITDA multiple on FY31E EBITDA</t>
  </si>
  <si>
    <t xml:space="preserve">(E = today's multiple held constant)</t>
  </si>
  <si>
    <t xml:space="preserve">Buy at market EV</t>
  </si>
  <si>
    <t xml:space="preserve">FCFF H2 FY27E (mid-point)</t>
  </si>
  <si>
    <t xml:space="preserve">FCFF FY28E</t>
  </si>
  <si>
    <t xml:space="preserve">FCFF FY29E</t>
  </si>
  <si>
    <t xml:space="preserve">FCFF FY30E</t>
  </si>
  <si>
    <t xml:space="preserve">FCFF FY31E</t>
  </si>
  <si>
    <t xml:space="preserve">Exit value = multiple x FY31E EBITDA</t>
  </si>
  <si>
    <t xml:space="preserve">Implied annual return (XIRR)</t>
  </si>
  <si>
    <t xml:space="preserve">Compare with WACC (B20). Return depends mostly on the exit multiple, i.e. on sentiment rather than cash generation.</t>
  </si>
  <si>
    <t xml:space="preserve">CROSS-CHECK: justified P/B = (ROE - g) / (Ke - g)</t>
  </si>
  <si>
    <t xml:space="preserve">Sustainable ROE (average FY28E-FY31E)</t>
  </si>
  <si>
    <t xml:space="preserve">Justified P/B</t>
  </si>
  <si>
    <t xml:space="preserve">Value per share = justified P/B x FY27E book value (Rs)</t>
  </si>
  <si>
    <t xml:space="preserve">Difference vs DCF value</t>
  </si>
  <si>
    <t xml:space="preserve">SCENARIOS (values pasted from runs of the switch at Model!B3; re-run capture after changing inputs)</t>
  </si>
  <si>
    <t xml:space="preserve">Scenario</t>
  </si>
  <si>
    <t xml:space="preserve">Probability</t>
  </si>
  <si>
    <t xml:space="preserve">FY31E revenue</t>
  </si>
  <si>
    <t xml:space="preserve">FY31E EBITDA margin</t>
  </si>
  <si>
    <t xml:space="preserve">FY31E ROIC</t>
  </si>
  <si>
    <t xml:space="preserve">Value / share (Rs)</t>
  </si>
  <si>
    <t xml:space="preserve">Upside</t>
  </si>
  <si>
    <t xml:space="preserve">Probability-weighted</t>
  </si>
  <si>
    <t xml:space="preserve">MMFL - quarterly results tracker (consolidated, Rs crore)</t>
  </si>
  <si>
    <t xml:space="preserve">Quarter</t>
  </si>
  <si>
    <t xml:space="preserve">Jun-23</t>
  </si>
  <si>
    <t xml:space="preserve">Sep-23</t>
  </si>
  <si>
    <t xml:space="preserve">Dec-23</t>
  </si>
  <si>
    <t xml:space="preserve">Mar-24</t>
  </si>
  <si>
    <t xml:space="preserve">Jun-24</t>
  </si>
  <si>
    <t xml:space="preserve">Sep-24</t>
  </si>
  <si>
    <t xml:space="preserve">Dec-24</t>
  </si>
  <si>
    <t xml:space="preserve">Mar-25</t>
  </si>
  <si>
    <t xml:space="preserve">Jun-25</t>
  </si>
  <si>
    <t xml:space="preserve">Sep-25</t>
  </si>
  <si>
    <t xml:space="preserve">Dec-25</t>
  </si>
  <si>
    <t xml:space="preserve">Mar-26</t>
  </si>
  <si>
    <t xml:space="preserve">Jun-26</t>
  </si>
  <si>
    <t xml:space="preserve">TTM</t>
  </si>
  <si>
    <t xml:space="preserve">Revenue</t>
  </si>
  <si>
    <t xml:space="preserve">EBITDA</t>
  </si>
  <si>
    <t xml:space="preserve">Revenue growth YoY</t>
  </si>
  <si>
    <t xml:space="preserve">EBITDA growth YoY</t>
  </si>
  <si>
    <t xml:space="preserve">FY27E check</t>
  </si>
  <si>
    <t xml:space="preserve">FY27E revenue in model (active scenario)</t>
  </si>
  <si>
    <t xml:space="preserve">Revenue still needed in Q2-Q4 FY27</t>
  </si>
  <si>
    <t xml:space="preserve">Implied average per remaining quarter</t>
  </si>
  <si>
    <t xml:space="preserve">Implied quarterly growth vs Q1FY27 run-rate</t>
  </si>
  <si>
    <t xml:space="preserve">Q1FY27 memo: PBT Rs91cr and PAT Rs90cr include a one-off other income of Rs63cr; tax rate ~1%. Strip it out when judging the run-rate.</t>
  </si>
  <si>
    <t xml:space="preserve">Reverse DCF map: value per share (Rs) for any revenue CAGR x steady EBITDA margin</t>
  </si>
  <si>
    <t xml:space="preserve">Live formulas. Each cell re-runs the 5-year FCFF + terminal value with a constant growth rate and margin (other drivers as on Model). Green = justifies the current price.</t>
  </si>
  <si>
    <t xml:space="preserve">Tax rate</t>
  </si>
  <si>
    <t xml:space="preserve">FY26 revenue (Rs cr)</t>
  </si>
  <si>
    <t xml:space="preserve">FY26 net working capital (Rs cr)</t>
  </si>
  <si>
    <t xml:space="preserve">Year index t</t>
  </si>
  <si>
    <t xml:space="preserve">Fraction of year valued</t>
  </si>
  <si>
    <t xml:space="preserve">D&amp;A % of revenue</t>
  </si>
  <si>
    <t xml:space="preserve">Capex % of revenue</t>
  </si>
  <si>
    <t xml:space="preserve">NWC % of revenue (active scenario)</t>
  </si>
  <si>
    <t xml:space="preserve">Prior-year NWC % of revenue</t>
  </si>
  <si>
    <t xml:space="preserve">Discount period (years)</t>
  </si>
  <si>
    <t xml:space="preserve">WACC for grid A (= DCF sheet)</t>
  </si>
  <si>
    <t xml:space="preserve">WACC for grid B (lower discount rate)</t>
  </si>
  <si>
    <t xml:space="preserve">Terminal growth g</t>
  </si>
  <si>
    <t xml:space="preserve">RONIC</t>
  </si>
  <si>
    <t xml:space="preserve">Shares (crore)</t>
  </si>
  <si>
    <t xml:space="preserve">GRID A: at the model WACC</t>
  </si>
  <si>
    <t xml:space="preserve">CAGR \ margin</t>
  </si>
  <si>
    <t xml:space="preserve">GRID B: at the lower WACC in B15</t>
  </si>
  <si>
    <t xml:space="preserve">Reading it: FY22-FY26 revenue CAGR was ~9% and the best EBITDA margin 19.4%. Cells that reach the current price need both well above history, or a much lower discount rate.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</si>
</sst>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;\(#,##0.00\);\-"/>
    <numFmt numFmtId="166" formatCode="#,##0;\(#,##0\);\-"/>
    <numFmt numFmtId="167" formatCode="0.0%;\(0.0%\);\-"/>
    <numFmt numFmtId="168" formatCode="0.00%;\(0.00%\);\-"/>
    <numFmt numFmtId="169" formatCode="0.00\x"/>
    <numFmt numFmtId="170" formatCode="#,##0.0;\(#,##0.0\);\-"/>
    <numFmt numFmtId="171" formatCode="0.000"/>
    <numFmt numFmtId="172" formatCode="dd\-mmm\-yy"/>
    <numFmt numFmtId="173" formatCode="0%"/>
    <numFmt numFmtId="174" formatCode="#,##0"/>
    <numFmt numFmtId="175" formatCode="0.0%"/>
    <numFmt numFmtId="176" formatCode="0.0%;\(0.0%\)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008000"/>
      <name val="Arial"/>
      <family val="0"/>
      <charset val="1"/>
    </font>
    <font>
      <sz val="9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2"/>
    </font>
    <font>
      <sz val="9"/>
      <color rgb="FF008000"/>
      <name val="Arial"/>
      <family val="0"/>
      <charset val="1"/>
    </font>
    <font>
      <b val="true"/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EDEFF3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FF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6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n">
        <f aca="false">DCF!B4</f>
        <v>612</v>
      </c>
    </row>
    <row r="5" customFormat="false" ht="15" hidden="false" customHeight="true" outlineLevel="0" collapsed="false">
      <c r="A5" s="4" t="s">
        <v>3</v>
      </c>
      <c r="B5" s="6" t="n">
        <f aca="false">DCF!B49</f>
        <v>118.072558868128</v>
      </c>
    </row>
    <row r="6" customFormat="false" ht="15" hidden="false" customHeight="true" outlineLevel="0" collapsed="false">
      <c r="A6" s="4" t="s">
        <v>4</v>
      </c>
      <c r="B6" s="7" t="n">
        <f aca="false">DCF!B50</f>
        <v>-0.807070982241621</v>
      </c>
    </row>
    <row r="7" customFormat="false" ht="15" hidden="false" customHeight="true" outlineLevel="0" collapsed="false">
      <c r="A7" s="4" t="s">
        <v>5</v>
      </c>
      <c r="B7" s="8" t="n">
        <f aca="false">DCF!B20</f>
        <v>0.129541676921937</v>
      </c>
    </row>
    <row r="8" customFormat="false" ht="15" hidden="false" customHeight="true" outlineLevel="0" collapsed="false">
      <c r="A8" s="4" t="s">
        <v>6</v>
      </c>
      <c r="B8" s="9" t="str">
        <f aca="false">TEXT(DCF!B21,"0.0%")&amp;" / "&amp;TEXT(DCF!B22,"0%")</f>
        <v>6.0% / 15%</v>
      </c>
    </row>
    <row r="9" customFormat="false" ht="15" hidden="false" customHeight="true" outlineLevel="0" collapsed="false">
      <c r="A9" s="4" t="s">
        <v>7</v>
      </c>
      <c r="B9" s="10" t="n">
        <f aca="false">DCF!B56</f>
        <v>14.297397260274</v>
      </c>
    </row>
    <row r="10" customFormat="false" ht="15" hidden="false" customHeight="true" outlineLevel="0" collapsed="false">
      <c r="A10" s="4" t="s">
        <v>8</v>
      </c>
      <c r="B10" s="10" t="n">
        <f aca="false">DCF!B61</f>
        <v>12.1432140394332</v>
      </c>
    </row>
    <row r="11" customFormat="false" ht="15" hidden="false" customHeight="true" outlineLevel="0" collapsed="false">
      <c r="A11" s="4" t="s">
        <v>9</v>
      </c>
      <c r="B11" s="7" t="n">
        <f aca="false">DCF!B64</f>
        <v>0.410003553898729</v>
      </c>
    </row>
    <row r="12" customFormat="false" ht="15" hidden="false" customHeight="true" outlineLevel="0" collapsed="false">
      <c r="A12" s="4" t="s">
        <v>10</v>
      </c>
      <c r="B12" s="7" t="n">
        <f aca="false">Model!F49</f>
        <v>0.0619644912280702</v>
      </c>
    </row>
    <row r="13" customFormat="false" ht="15" hidden="false" customHeight="true" outlineLevel="0" collapsed="false">
      <c r="A13" s="4" t="s">
        <v>11</v>
      </c>
      <c r="B13" s="10" t="n">
        <f aca="false">Model!F53</f>
        <v>3.58974358974359</v>
      </c>
    </row>
    <row r="14" customFormat="false" ht="15" hidden="false" customHeight="true" outlineLevel="0" collapsed="false">
      <c r="A14" s="4" t="s">
        <v>12</v>
      </c>
      <c r="B14" s="10" t="n">
        <f aca="false">Model!F52</f>
        <v>4.37857142857143</v>
      </c>
    </row>
    <row r="15" customFormat="false" ht="15" hidden="false" customHeight="true" outlineLevel="0" collapsed="false">
      <c r="A15" s="4" t="s">
        <v>13</v>
      </c>
      <c r="B15" s="9" t="str">
        <f aca="false">CHOOSE(Model!B3,"Bear","Base","Bull")</f>
        <v>Base</v>
      </c>
    </row>
    <row r="17" customFormat="false" ht="15" hidden="false" customHeight="true" outlineLevel="0" collapsed="false">
      <c r="A17" s="4" t="s">
        <v>14</v>
      </c>
    </row>
    <row r="18" customFormat="false" ht="15" hidden="false" customHeight="true" outlineLevel="0" collapsed="false">
      <c r="A18" s="11" t="s">
        <v>15</v>
      </c>
    </row>
    <row r="19" customFormat="false" ht="15" hidden="false" customHeight="true" outlineLevel="0" collapsed="false">
      <c r="A19" s="11" t="s">
        <v>16</v>
      </c>
    </row>
    <row r="20" customFormat="false" ht="15" hidden="false" customHeight="true" outlineLevel="0" collapsed="false">
      <c r="A20" s="11"/>
    </row>
    <row r="21" customFormat="false" ht="15" hidden="false" customHeight="true" outlineLevel="0" collapsed="false">
      <c r="A21" s="4" t="s">
        <v>17</v>
      </c>
    </row>
    <row r="22" customFormat="false" ht="15" hidden="false" customHeight="true" outlineLevel="0" collapsed="false">
      <c r="A22" s="11" t="s">
        <v>18</v>
      </c>
    </row>
    <row r="23" customFormat="false" ht="15" hidden="false" customHeight="true" outlineLevel="0" collapsed="false">
      <c r="A23" s="11" t="s">
        <v>19</v>
      </c>
    </row>
    <row r="24" customFormat="false" ht="15" hidden="false" customHeight="true" outlineLevel="0" collapsed="false">
      <c r="A24" s="11" t="s">
        <v>20</v>
      </c>
    </row>
    <row r="25" customFormat="false" ht="15" hidden="false" customHeight="true" outlineLevel="0" collapsed="false">
      <c r="A25" s="11" t="s">
        <v>21</v>
      </c>
    </row>
    <row r="26" customFormat="false" ht="15" hidden="false" customHeight="true" outlineLevel="0" collapsed="false">
      <c r="A26" s="11"/>
    </row>
    <row r="27" customFormat="false" ht="15" hidden="false" customHeight="true" outlineLevel="0" collapsed="false">
      <c r="A27" s="11" t="s">
        <v>22</v>
      </c>
    </row>
    <row r="28" customFormat="false" ht="15" hidden="false" customHeight="true" outlineLevel="0" collapsed="false">
      <c r="A28" s="11"/>
    </row>
    <row r="29" customFormat="false" ht="15" hidden="false" customHeight="true" outlineLevel="0" collapsed="false">
      <c r="A29" s="4" t="s">
        <v>23</v>
      </c>
    </row>
    <row r="30" customFormat="false" ht="15" hidden="false" customHeight="true" outlineLevel="0" collapsed="false">
      <c r="A30" s="11" t="s">
        <v>24</v>
      </c>
    </row>
    <row r="31" customFormat="false" ht="15" hidden="false" customHeight="true" outlineLevel="0" collapsed="false">
      <c r="A31" s="11" t="s">
        <v>25</v>
      </c>
    </row>
    <row r="32" customFormat="false" ht="15" hidden="false" customHeight="true" outlineLevel="0" collapsed="false">
      <c r="A32" s="11" t="s">
        <v>26</v>
      </c>
    </row>
    <row r="33" customFormat="false" ht="15" hidden="false" customHeight="true" outlineLevel="0" collapsed="false">
      <c r="A33" s="11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11" min="2" style="1" width="9"/>
    <col collapsed="false" customWidth="true" hidden="false" outlineLevel="0" max="12" min="12" style="1" width="70"/>
  </cols>
  <sheetData>
    <row r="1" customFormat="false" ht="15.75" hidden="false" customHeight="true" outlineLevel="0" collapsed="false">
      <c r="A1" s="12" t="s">
        <v>28</v>
      </c>
    </row>
    <row r="2" customFormat="false" ht="15" hidden="false" customHeight="true" outlineLevel="0" collapsed="false">
      <c r="A2" s="3" t="s">
        <v>29</v>
      </c>
    </row>
    <row r="3" customFormat="false" ht="15" hidden="false" customHeight="true" outlineLevel="0" collapsed="false">
      <c r="A3" s="4" t="s">
        <v>30</v>
      </c>
      <c r="B3" s="13" t="n">
        <v>2</v>
      </c>
    </row>
    <row r="4" customFormat="false" ht="15" hidden="false" customHeight="true" outlineLevel="0" collapsed="false">
      <c r="B4" s="14" t="s">
        <v>31</v>
      </c>
      <c r="C4" s="14" t="s">
        <v>32</v>
      </c>
      <c r="D4" s="14" t="s">
        <v>33</v>
      </c>
      <c r="E4" s="14" t="s">
        <v>34</v>
      </c>
    </row>
    <row r="5" customFormat="false" ht="15" hidden="false" customHeight="true" outlineLevel="0" collapsed="false">
      <c r="A5" s="11" t="s">
        <v>35</v>
      </c>
      <c r="B5" s="15" t="n">
        <v>-0.05</v>
      </c>
      <c r="C5" s="15" t="n">
        <v>0</v>
      </c>
      <c r="D5" s="15" t="n">
        <v>0.03</v>
      </c>
      <c r="E5" s="16" t="n">
        <f aca="false">CHOOSE($B$3,B5,C5,D5)</f>
        <v>0</v>
      </c>
      <c r="G5" s="11" t="s">
        <v>36</v>
      </c>
      <c r="I5" s="15" t="n">
        <v>0.1</v>
      </c>
    </row>
    <row r="6" customFormat="false" ht="15" hidden="false" customHeight="true" outlineLevel="0" collapsed="false">
      <c r="A6" s="11" t="s">
        <v>37</v>
      </c>
      <c r="B6" s="15" t="n">
        <v>-0.02</v>
      </c>
      <c r="C6" s="15" t="n">
        <v>0</v>
      </c>
      <c r="D6" s="15" t="n">
        <v>0.02</v>
      </c>
      <c r="E6" s="16" t="n">
        <f aca="false">CHOOSE($B$3,B6,C6,D6)</f>
        <v>0</v>
      </c>
    </row>
    <row r="7" customFormat="false" ht="15" hidden="false" customHeight="true" outlineLevel="0" collapsed="false">
      <c r="A7" s="11" t="s">
        <v>38</v>
      </c>
      <c r="B7" s="15" t="n">
        <v>0.04</v>
      </c>
      <c r="C7" s="15" t="n">
        <v>0</v>
      </c>
      <c r="D7" s="15" t="n">
        <v>-0.03</v>
      </c>
      <c r="E7" s="16" t="n">
        <f aca="false">CHOOSE($B$3,B7,C7,D7)</f>
        <v>0</v>
      </c>
    </row>
    <row r="9" customFormat="false" ht="15" hidden="false" customHeight="true" outlineLevel="0" collapsed="false">
      <c r="A9" s="17" t="s">
        <v>39</v>
      </c>
      <c r="B9" s="18" t="s">
        <v>40</v>
      </c>
      <c r="C9" s="18" t="s">
        <v>41</v>
      </c>
      <c r="D9" s="18" t="s">
        <v>42</v>
      </c>
      <c r="E9" s="18" t="s">
        <v>43</v>
      </c>
      <c r="F9" s="18" t="s">
        <v>44</v>
      </c>
      <c r="G9" s="18" t="s">
        <v>45</v>
      </c>
      <c r="H9" s="18" t="s">
        <v>46</v>
      </c>
      <c r="I9" s="18" t="s">
        <v>47</v>
      </c>
      <c r="J9" s="18" t="s">
        <v>48</v>
      </c>
      <c r="K9" s="18" t="s">
        <v>49</v>
      </c>
      <c r="L9" s="18" t="s">
        <v>50</v>
      </c>
    </row>
    <row r="10" customFormat="false" ht="15" hidden="false" customHeight="true" outlineLevel="0" collapsed="false">
      <c r="A10" s="19" t="s">
        <v>51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</row>
    <row r="11" customFormat="false" ht="15" hidden="false" customHeight="true" outlineLevel="0" collapsed="false">
      <c r="A11" s="4" t="s">
        <v>52</v>
      </c>
      <c r="B11" s="21" t="n">
        <v>1140</v>
      </c>
      <c r="C11" s="21" t="n">
        <v>1462</v>
      </c>
      <c r="D11" s="21" t="n">
        <v>1563</v>
      </c>
      <c r="E11" s="21" t="n">
        <v>1525</v>
      </c>
      <c r="F11" s="21" t="n">
        <v>1590</v>
      </c>
      <c r="G11" s="22" t="n">
        <f aca="false">F11*(1+G12+$E$5)</f>
        <v>1828.5</v>
      </c>
      <c r="H11" s="22" t="n">
        <f aca="false">G11*(1+H12+$E$5)</f>
        <v>2084.49</v>
      </c>
      <c r="I11" s="22" t="n">
        <f aca="false">H11*(1+I12+$E$5)</f>
        <v>2334.6288</v>
      </c>
      <c r="J11" s="22" t="n">
        <f aca="false">I11*(1+J12+$E$5)</f>
        <v>2568.09168</v>
      </c>
      <c r="K11" s="22" t="n">
        <f aca="false">J11*(1+K12+$E$5)</f>
        <v>2799.2199312</v>
      </c>
      <c r="L11" s="23" t="s">
        <v>53</v>
      </c>
    </row>
    <row r="12" customFormat="false" ht="15" hidden="false" customHeight="true" outlineLevel="0" collapsed="false">
      <c r="A12" s="11" t="s">
        <v>54</v>
      </c>
      <c r="C12" s="24" t="n">
        <f aca="false">C11/B11-1</f>
        <v>0.282456140350877</v>
      </c>
      <c r="D12" s="24" t="n">
        <f aca="false">D11/C11-1</f>
        <v>0.0690834473324213</v>
      </c>
      <c r="E12" s="24" t="n">
        <f aca="false">E11/D11-1</f>
        <v>-0.0243122200895713</v>
      </c>
      <c r="F12" s="24" t="n">
        <f aca="false">F11/E11-1</f>
        <v>0.042622950819672</v>
      </c>
      <c r="G12" s="25" t="n">
        <v>0.15</v>
      </c>
      <c r="H12" s="25" t="n">
        <v>0.14</v>
      </c>
      <c r="I12" s="25" t="n">
        <v>0.12</v>
      </c>
      <c r="J12" s="25" t="n">
        <v>0.1</v>
      </c>
      <c r="K12" s="25" t="n">
        <v>0.09</v>
      </c>
      <c r="L12" s="23" t="s">
        <v>55</v>
      </c>
    </row>
    <row r="13" customFormat="false" ht="15" hidden="false" customHeight="true" outlineLevel="0" collapsed="false">
      <c r="A13" s="4" t="s">
        <v>56</v>
      </c>
      <c r="B13" s="21" t="n">
        <v>209</v>
      </c>
      <c r="C13" s="21" t="n">
        <v>273</v>
      </c>
      <c r="D13" s="21" t="n">
        <v>293</v>
      </c>
      <c r="E13" s="21" t="n">
        <v>296</v>
      </c>
      <c r="F13" s="21" t="n">
        <v>280</v>
      </c>
      <c r="G13" s="22" t="n">
        <f aca="false">G11*G15</f>
        <v>338.2725</v>
      </c>
      <c r="H13" s="22" t="n">
        <f aca="false">H11*H15</f>
        <v>396.0531</v>
      </c>
      <c r="I13" s="22" t="n">
        <f aca="false">I11*I15</f>
        <v>455.252616</v>
      </c>
      <c r="J13" s="22" t="n">
        <f aca="false">J11*J15</f>
        <v>500.7778776</v>
      </c>
      <c r="K13" s="22" t="n">
        <f aca="false">K11*K15</f>
        <v>545.847886584</v>
      </c>
    </row>
    <row r="14" customFormat="false" ht="15" hidden="false" customHeight="true" outlineLevel="0" collapsed="false">
      <c r="A14" s="11" t="s">
        <v>57</v>
      </c>
      <c r="G14" s="25" t="n">
        <v>0.185</v>
      </c>
      <c r="H14" s="25" t="n">
        <v>0.19</v>
      </c>
      <c r="I14" s="25" t="n">
        <v>0.195</v>
      </c>
      <c r="J14" s="25" t="n">
        <v>0.195</v>
      </c>
      <c r="K14" s="25" t="n">
        <v>0.195</v>
      </c>
      <c r="L14" s="23" t="s">
        <v>58</v>
      </c>
    </row>
    <row r="15" customFormat="false" ht="15" hidden="false" customHeight="true" outlineLevel="0" collapsed="false">
      <c r="A15" s="11" t="s">
        <v>59</v>
      </c>
      <c r="B15" s="24" t="n">
        <f aca="false">B13/B11</f>
        <v>0.183333333333333</v>
      </c>
      <c r="C15" s="24" t="n">
        <f aca="false">C13/C11</f>
        <v>0.186730506155951</v>
      </c>
      <c r="D15" s="24" t="n">
        <f aca="false">D13/D11</f>
        <v>0.187460012795905</v>
      </c>
      <c r="E15" s="24" t="n">
        <f aca="false">E13/E11</f>
        <v>0.194098360655738</v>
      </c>
      <c r="F15" s="24" t="n">
        <f aca="false">F13/F11</f>
        <v>0.176100628930818</v>
      </c>
      <c r="G15" s="24" t="n">
        <f aca="false">G14+$E$6</f>
        <v>0.185</v>
      </c>
      <c r="H15" s="24" t="n">
        <f aca="false">H14+$E$6</f>
        <v>0.19</v>
      </c>
      <c r="I15" s="24" t="n">
        <f aca="false">I14+$E$6</f>
        <v>0.195</v>
      </c>
      <c r="J15" s="24" t="n">
        <f aca="false">J14+$E$6</f>
        <v>0.195</v>
      </c>
      <c r="K15" s="24" t="n">
        <f aca="false">K14+$E$6</f>
        <v>0.195</v>
      </c>
    </row>
    <row r="16" customFormat="false" ht="15" hidden="false" customHeight="true" outlineLevel="0" collapsed="false">
      <c r="A16" s="11" t="s">
        <v>60</v>
      </c>
      <c r="B16" s="21" t="n">
        <v>68</v>
      </c>
      <c r="C16" s="21" t="n">
        <v>79</v>
      </c>
      <c r="D16" s="21" t="n">
        <v>83</v>
      </c>
      <c r="E16" s="21" t="n">
        <v>93</v>
      </c>
      <c r="F16" s="21" t="n">
        <v>103</v>
      </c>
      <c r="G16" s="26" t="n">
        <f aca="false">G11*G17</f>
        <v>124.338</v>
      </c>
      <c r="H16" s="26" t="n">
        <f aca="false">H11*H17</f>
        <v>139.66083</v>
      </c>
      <c r="I16" s="26" t="n">
        <f aca="false">I11*I17</f>
        <v>154.0855008</v>
      </c>
      <c r="J16" s="26" t="n">
        <f aca="false">J11*J17</f>
        <v>166.9259592</v>
      </c>
      <c r="K16" s="26" t="n">
        <f aca="false">K11*K17</f>
        <v>179.1500755968</v>
      </c>
    </row>
    <row r="17" customFormat="false" ht="15" hidden="false" customHeight="true" outlineLevel="0" collapsed="false">
      <c r="A17" s="11" t="s">
        <v>61</v>
      </c>
      <c r="B17" s="24" t="n">
        <f aca="false">B16/B11</f>
        <v>0.0596491228070175</v>
      </c>
      <c r="C17" s="24" t="n">
        <f aca="false">C16/C11</f>
        <v>0.0540355677154583</v>
      </c>
      <c r="D17" s="24" t="n">
        <f aca="false">D16/D11</f>
        <v>0.0531030070377479</v>
      </c>
      <c r="E17" s="24" t="n">
        <f aca="false">E16/E11</f>
        <v>0.0609836065573771</v>
      </c>
      <c r="F17" s="24" t="n">
        <f aca="false">F16/F11</f>
        <v>0.0647798742138365</v>
      </c>
      <c r="G17" s="15" t="n">
        <v>0.068</v>
      </c>
      <c r="H17" s="15" t="n">
        <v>0.067</v>
      </c>
      <c r="I17" s="15" t="n">
        <v>0.066</v>
      </c>
      <c r="J17" s="15" t="n">
        <v>0.065</v>
      </c>
      <c r="K17" s="15" t="n">
        <v>0.064</v>
      </c>
      <c r="L17" s="23" t="s">
        <v>62</v>
      </c>
    </row>
    <row r="18" customFormat="false" ht="15" hidden="false" customHeight="true" outlineLevel="0" collapsed="false">
      <c r="A18" s="11" t="s">
        <v>63</v>
      </c>
      <c r="B18" s="26" t="n">
        <f aca="false">B13-B16</f>
        <v>141</v>
      </c>
      <c r="C18" s="26" t="n">
        <f aca="false">C13-C16</f>
        <v>194</v>
      </c>
      <c r="D18" s="26" t="n">
        <f aca="false">D13-D16</f>
        <v>210</v>
      </c>
      <c r="E18" s="26" t="n">
        <f aca="false">E13-E16</f>
        <v>203</v>
      </c>
      <c r="F18" s="26" t="n">
        <f aca="false">F13-F16</f>
        <v>177</v>
      </c>
      <c r="G18" s="26" t="n">
        <f aca="false">G13-G16</f>
        <v>213.9345</v>
      </c>
      <c r="H18" s="26" t="n">
        <f aca="false">H13-H16</f>
        <v>256.39227</v>
      </c>
      <c r="I18" s="26" t="n">
        <f aca="false">I13-I16</f>
        <v>301.1671152</v>
      </c>
      <c r="J18" s="26" t="n">
        <f aca="false">J13-J16</f>
        <v>333.8519184</v>
      </c>
      <c r="K18" s="26" t="n">
        <f aca="false">K13-K16</f>
        <v>366.6978109872</v>
      </c>
    </row>
    <row r="19" customFormat="false" ht="15" hidden="false" customHeight="true" outlineLevel="0" collapsed="false">
      <c r="A19" s="11" t="s">
        <v>64</v>
      </c>
      <c r="B19" s="21" t="n">
        <v>16</v>
      </c>
      <c r="C19" s="21" t="n">
        <v>12</v>
      </c>
      <c r="D19" s="21" t="n">
        <v>22</v>
      </c>
      <c r="E19" s="21" t="n">
        <v>23</v>
      </c>
      <c r="F19" s="21" t="n">
        <v>16</v>
      </c>
      <c r="G19" s="21" t="n">
        <v>75</v>
      </c>
      <c r="H19" s="21" t="n">
        <v>18</v>
      </c>
      <c r="I19" s="21" t="n">
        <v>18</v>
      </c>
      <c r="J19" s="21" t="n">
        <v>18</v>
      </c>
      <c r="K19" s="21" t="n">
        <v>18</v>
      </c>
      <c r="L19" s="23" t="s">
        <v>65</v>
      </c>
    </row>
    <row r="20" customFormat="false" ht="15" hidden="false" customHeight="true" outlineLevel="0" collapsed="false">
      <c r="A20" s="11" t="s">
        <v>66</v>
      </c>
      <c r="B20" s="21" t="n">
        <v>28</v>
      </c>
      <c r="C20" s="21" t="n">
        <v>30</v>
      </c>
      <c r="D20" s="21" t="n">
        <v>42</v>
      </c>
      <c r="E20" s="21" t="n">
        <v>60</v>
      </c>
      <c r="F20" s="21" t="n">
        <v>78</v>
      </c>
      <c r="G20" s="26" t="n">
        <f aca="false">AVERAGE(F35,G35)*G21</f>
        <v>86.45</v>
      </c>
      <c r="H20" s="26" t="n">
        <f aca="false">AVERAGE(G35,H35)*H21</f>
        <v>86.45</v>
      </c>
      <c r="I20" s="26" t="n">
        <f aca="false">AVERAGE(H35,I35)*I21</f>
        <v>86.45</v>
      </c>
      <c r="J20" s="26" t="n">
        <f aca="false">AVERAGE(I35,J35)*J21</f>
        <v>86.45</v>
      </c>
      <c r="K20" s="26" t="n">
        <f aca="false">AVERAGE(J35,K35)*K21</f>
        <v>86.45</v>
      </c>
    </row>
    <row r="21" customFormat="false" ht="15" hidden="false" customHeight="true" outlineLevel="0" collapsed="false">
      <c r="A21" s="11" t="s">
        <v>67</v>
      </c>
      <c r="C21" s="24" t="n">
        <f aca="false">C20/AVERAGE(B35,C35)</f>
        <v>0.0416377515614157</v>
      </c>
      <c r="D21" s="24" t="n">
        <f aca="false">D20/AVERAGE(C35,D35)</f>
        <v>0.049792531120332</v>
      </c>
      <c r="E21" s="24" t="n">
        <f aca="false">E20/AVERAGE(D35,E35)</f>
        <v>0.056710775047259</v>
      </c>
      <c r="F21" s="24" t="n">
        <f aca="false">F20/AVERAGE(E35,F35)</f>
        <v>0.0644628099173554</v>
      </c>
      <c r="G21" s="15" t="n">
        <v>0.07</v>
      </c>
      <c r="H21" s="15" t="n">
        <v>0.07</v>
      </c>
      <c r="I21" s="15" t="n">
        <v>0.07</v>
      </c>
      <c r="J21" s="15" t="n">
        <v>0.07</v>
      </c>
      <c r="K21" s="15" t="n">
        <v>0.07</v>
      </c>
      <c r="L21" s="23" t="s">
        <v>68</v>
      </c>
    </row>
    <row r="22" customFormat="false" ht="15" hidden="false" customHeight="true" outlineLevel="0" collapsed="false">
      <c r="A22" s="11" t="s">
        <v>69</v>
      </c>
      <c r="B22" s="21" t="n">
        <v>129</v>
      </c>
      <c r="C22" s="21" t="n">
        <v>177</v>
      </c>
      <c r="D22" s="21" t="n">
        <v>189</v>
      </c>
      <c r="E22" s="21" t="n">
        <v>166</v>
      </c>
      <c r="F22" s="21" t="n">
        <v>115</v>
      </c>
      <c r="G22" s="26" t="n">
        <f aca="false">G18+G19-G20</f>
        <v>202.4845</v>
      </c>
      <c r="H22" s="26" t="n">
        <f aca="false">H18+H19-H20</f>
        <v>187.94227</v>
      </c>
      <c r="I22" s="26" t="n">
        <f aca="false">I18+I19-I20</f>
        <v>232.7171152</v>
      </c>
      <c r="J22" s="26" t="n">
        <f aca="false">J18+J19-J20</f>
        <v>265.4019184</v>
      </c>
      <c r="K22" s="26" t="n">
        <f aca="false">K18+K19-K20</f>
        <v>298.2478109872</v>
      </c>
      <c r="L22" s="23" t="s">
        <v>70</v>
      </c>
    </row>
    <row r="23" customFormat="false" ht="15" hidden="false" customHeight="true" outlineLevel="0" collapsed="false">
      <c r="A23" s="11" t="s">
        <v>71</v>
      </c>
      <c r="B23" s="21" t="n">
        <v>38</v>
      </c>
      <c r="C23" s="21" t="n">
        <v>49</v>
      </c>
      <c r="D23" s="21" t="n">
        <v>54</v>
      </c>
      <c r="E23" s="21" t="n">
        <v>43</v>
      </c>
      <c r="F23" s="21" t="n">
        <v>16</v>
      </c>
      <c r="G23" s="26" t="n">
        <f aca="false">G22*G24</f>
        <v>50.96534865</v>
      </c>
      <c r="H23" s="26" t="n">
        <f aca="false">H22*H24</f>
        <v>47.305069359</v>
      </c>
      <c r="I23" s="26" t="n">
        <f aca="false">I22*I24</f>
        <v>58.57489789584</v>
      </c>
      <c r="J23" s="26" t="n">
        <f aca="false">J22*J24</f>
        <v>66.80166286128</v>
      </c>
      <c r="K23" s="26" t="n">
        <f aca="false">K22*K24</f>
        <v>75.0689740254783</v>
      </c>
    </row>
    <row r="24" customFormat="false" ht="15" hidden="false" customHeight="true" outlineLevel="0" collapsed="false">
      <c r="A24" s="11" t="s">
        <v>72</v>
      </c>
      <c r="B24" s="24" t="n">
        <f aca="false">B23/B22</f>
        <v>0.294573643410853</v>
      </c>
      <c r="C24" s="24" t="n">
        <f aca="false">C23/C22</f>
        <v>0.27683615819209</v>
      </c>
      <c r="D24" s="24" t="n">
        <f aca="false">D23/D22</f>
        <v>0.285714285714286</v>
      </c>
      <c r="E24" s="24" t="n">
        <f aca="false">E23/E22</f>
        <v>0.259036144578313</v>
      </c>
      <c r="F24" s="24" t="n">
        <f aca="false">F23/F22</f>
        <v>0.139130434782609</v>
      </c>
      <c r="G24" s="15" t="n">
        <v>0.2517</v>
      </c>
      <c r="H24" s="15" t="n">
        <v>0.2517</v>
      </c>
      <c r="I24" s="15" t="n">
        <v>0.2517</v>
      </c>
      <c r="J24" s="15" t="n">
        <v>0.2517</v>
      </c>
      <c r="K24" s="15" t="n">
        <v>0.2517</v>
      </c>
      <c r="L24" s="23" t="s">
        <v>73</v>
      </c>
    </row>
    <row r="25" customFormat="false" ht="15" hidden="false" customHeight="true" outlineLevel="0" collapsed="false">
      <c r="A25" s="4" t="s">
        <v>74</v>
      </c>
      <c r="B25" s="22" t="n">
        <f aca="false">B22-B23</f>
        <v>91</v>
      </c>
      <c r="C25" s="22" t="n">
        <f aca="false">C22-C23</f>
        <v>128</v>
      </c>
      <c r="D25" s="22" t="n">
        <f aca="false">D22-D23</f>
        <v>135</v>
      </c>
      <c r="E25" s="22" t="n">
        <f aca="false">E22-E23</f>
        <v>123</v>
      </c>
      <c r="F25" s="22" t="n">
        <f aca="false">F22-F23</f>
        <v>99</v>
      </c>
      <c r="G25" s="22" t="n">
        <f aca="false">G22-G23</f>
        <v>151.51915135</v>
      </c>
      <c r="H25" s="22" t="n">
        <f aca="false">H22-H23</f>
        <v>140.637200641</v>
      </c>
      <c r="I25" s="22" t="n">
        <f aca="false">I22-I23</f>
        <v>174.14221730416</v>
      </c>
      <c r="J25" s="22" t="n">
        <f aca="false">J22-J23</f>
        <v>198.60025553872</v>
      </c>
      <c r="K25" s="22" t="n">
        <f aca="false">K22-K23</f>
        <v>223.178836961722</v>
      </c>
    </row>
    <row r="26" customFormat="false" ht="15" hidden="false" customHeight="true" outlineLevel="0" collapsed="false">
      <c r="A26" s="11" t="s">
        <v>75</v>
      </c>
      <c r="C26" s="24" t="n">
        <f aca="false">C25/B25-1</f>
        <v>0.406593406593407</v>
      </c>
      <c r="D26" s="24" t="n">
        <f aca="false">D25/C25-1</f>
        <v>0.0546875</v>
      </c>
      <c r="E26" s="24" t="n">
        <f aca="false">E25/D25-1</f>
        <v>-0.0888888888888889</v>
      </c>
      <c r="F26" s="24" t="n">
        <f aca="false">F25/E25-1</f>
        <v>-0.195121951219512</v>
      </c>
      <c r="G26" s="24" t="n">
        <f aca="false">G25/F25-1</f>
        <v>0.530496478282828</v>
      </c>
      <c r="H26" s="24" t="n">
        <f aca="false">H25/G25-1</f>
        <v>-0.0718189787366442</v>
      </c>
      <c r="I26" s="24" t="n">
        <f aca="false">I25/H25-1</f>
        <v>0.238237226782459</v>
      </c>
      <c r="J26" s="24" t="n">
        <f aca="false">J25/I25-1</f>
        <v>0.140448643718835</v>
      </c>
      <c r="K26" s="24" t="n">
        <f aca="false">K25/J25-1</f>
        <v>0.123759062425828</v>
      </c>
    </row>
    <row r="27" customFormat="false" ht="15" hidden="false" customHeight="true" outlineLevel="0" collapsed="false">
      <c r="A27" s="11" t="s">
        <v>76</v>
      </c>
      <c r="B27" s="27" t="n">
        <f aca="false">B25/DCF!$B$5</f>
        <v>18.8796680497925</v>
      </c>
      <c r="C27" s="27" t="n">
        <f aca="false">C25/DCF!$B$5</f>
        <v>26.5560165975104</v>
      </c>
      <c r="D27" s="27" t="n">
        <f aca="false">D25/DCF!$B$5</f>
        <v>28.0082987551867</v>
      </c>
      <c r="E27" s="27" t="n">
        <f aca="false">E25/DCF!$B$5</f>
        <v>25.5186721991701</v>
      </c>
      <c r="F27" s="27" t="n">
        <f aca="false">F25/DCF!$B$5</f>
        <v>20.5394190871369</v>
      </c>
      <c r="G27" s="27" t="n">
        <f aca="false">G25/DCF!$B$5</f>
        <v>31.4355085788382</v>
      </c>
      <c r="H27" s="27" t="n">
        <f aca="false">H25/DCF!$B$5</f>
        <v>29.177842456639</v>
      </c>
      <c r="I27" s="27" t="n">
        <f aca="false">I25/DCF!$B$5</f>
        <v>36.1290907270042</v>
      </c>
      <c r="J27" s="27" t="n">
        <f aca="false">J25/DCF!$B$5</f>
        <v>41.2033725184066</v>
      </c>
      <c r="K27" s="27" t="n">
        <f aca="false">K25/DCF!$B$5</f>
        <v>46.3026632700668</v>
      </c>
      <c r="L27" s="23" t="s">
        <v>77</v>
      </c>
    </row>
    <row r="28" customFormat="false" ht="15" hidden="false" customHeight="true" outlineLevel="0" collapsed="false">
      <c r="A28" s="19" t="s">
        <v>78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</row>
    <row r="29" customFormat="false" ht="15" hidden="false" customHeight="true" outlineLevel="0" collapsed="false">
      <c r="A29" s="11" t="s">
        <v>79</v>
      </c>
      <c r="B29" s="21" t="n">
        <v>744</v>
      </c>
      <c r="C29" s="21" t="n">
        <v>867</v>
      </c>
      <c r="D29" s="21" t="n">
        <v>1038</v>
      </c>
      <c r="E29" s="21" t="n">
        <v>1347</v>
      </c>
      <c r="F29" s="21" t="n">
        <v>1436</v>
      </c>
      <c r="G29" s="26" t="n">
        <f aca="false">F29+G30-G16</f>
        <v>1494.512</v>
      </c>
      <c r="H29" s="26" t="n">
        <f aca="false">G29+H30-H16</f>
        <v>1542.45527</v>
      </c>
      <c r="I29" s="26" t="n">
        <f aca="false">H29+I30-I16</f>
        <v>1586.8132172</v>
      </c>
      <c r="J29" s="26" t="n">
        <f aca="false">I29+J30-J16</f>
        <v>1638.1750508</v>
      </c>
      <c r="K29" s="26" t="n">
        <f aca="false">J29+K30-K16</f>
        <v>1696.9586693552</v>
      </c>
      <c r="L29" s="23" t="s">
        <v>80</v>
      </c>
    </row>
    <row r="30" customFormat="false" ht="15" hidden="false" customHeight="true" outlineLevel="0" collapsed="false">
      <c r="A30" s="11" t="s">
        <v>81</v>
      </c>
      <c r="B30" s="21" t="n">
        <v>110</v>
      </c>
      <c r="C30" s="21" t="n">
        <v>200</v>
      </c>
      <c r="D30" s="21" t="n">
        <v>251</v>
      </c>
      <c r="E30" s="21" t="n">
        <v>403</v>
      </c>
      <c r="F30" s="21" t="n">
        <v>188</v>
      </c>
      <c r="G30" s="26" t="n">
        <f aca="false">G11*G31</f>
        <v>182.85</v>
      </c>
      <c r="H30" s="26" t="n">
        <f aca="false">H11*H31</f>
        <v>187.6041</v>
      </c>
      <c r="I30" s="26" t="n">
        <f aca="false">I11*I31</f>
        <v>198.443448</v>
      </c>
      <c r="J30" s="26" t="n">
        <f aca="false">J11*J31</f>
        <v>218.2877928</v>
      </c>
      <c r="K30" s="26" t="n">
        <f aca="false">K11*K31</f>
        <v>237.933694152</v>
      </c>
      <c r="L30" s="23" t="s">
        <v>82</v>
      </c>
    </row>
    <row r="31" customFormat="false" ht="15" hidden="false" customHeight="true" outlineLevel="0" collapsed="false">
      <c r="A31" s="11" t="s">
        <v>83</v>
      </c>
      <c r="B31" s="24" t="n">
        <f aca="false">B30/B11</f>
        <v>0.0964912280701754</v>
      </c>
      <c r="C31" s="24" t="n">
        <f aca="false">C30/C11</f>
        <v>0.136798905608755</v>
      </c>
      <c r="D31" s="24" t="n">
        <f aca="false">D30/D11</f>
        <v>0.160588611644274</v>
      </c>
      <c r="E31" s="24" t="n">
        <f aca="false">E30/E11</f>
        <v>0.264262295081967</v>
      </c>
      <c r="F31" s="24" t="n">
        <f aca="false">F30/F11</f>
        <v>0.118238993710692</v>
      </c>
      <c r="G31" s="25" t="n">
        <v>0.1</v>
      </c>
      <c r="H31" s="25" t="n">
        <v>0.09</v>
      </c>
      <c r="I31" s="25" t="n">
        <v>0.085</v>
      </c>
      <c r="J31" s="25" t="n">
        <v>0.085</v>
      </c>
      <c r="K31" s="25" t="n">
        <v>0.085</v>
      </c>
      <c r="L31" s="23" t="s">
        <v>84</v>
      </c>
    </row>
    <row r="32" customFormat="false" ht="15" hidden="false" customHeight="true" outlineLevel="0" collapsed="false">
      <c r="A32" s="11" t="s">
        <v>85</v>
      </c>
      <c r="B32" s="21" t="n">
        <v>477</v>
      </c>
      <c r="C32" s="21" t="n">
        <v>540</v>
      </c>
      <c r="D32" s="21" t="n">
        <v>659</v>
      </c>
      <c r="E32" s="21" t="n">
        <v>727</v>
      </c>
      <c r="F32" s="21" t="n">
        <v>765</v>
      </c>
      <c r="G32" s="26" t="n">
        <f aca="false">G11*(G33+$E$7)</f>
        <v>841.11</v>
      </c>
      <c r="H32" s="26" t="n">
        <f aca="false">H11*(H33+$E$7)</f>
        <v>917.1756</v>
      </c>
      <c r="I32" s="26" t="n">
        <f aca="false">I11*(I33+$E$7)</f>
        <v>980.544096</v>
      </c>
      <c r="J32" s="26" t="n">
        <f aca="false">J11*(J33+$E$7)</f>
        <v>1052.9175888</v>
      </c>
      <c r="K32" s="26" t="n">
        <f aca="false">K11*(K33+$E$7)</f>
        <v>1119.68797248</v>
      </c>
      <c r="L32" s="23" t="s">
        <v>86</v>
      </c>
    </row>
    <row r="33" customFormat="false" ht="15" hidden="false" customHeight="true" outlineLevel="0" collapsed="false">
      <c r="A33" s="11" t="s">
        <v>87</v>
      </c>
      <c r="B33" s="24" t="n">
        <f aca="false">B32/B11</f>
        <v>0.418421052631579</v>
      </c>
      <c r="C33" s="24" t="n">
        <f aca="false">C32/C11</f>
        <v>0.369357045143639</v>
      </c>
      <c r="D33" s="24" t="n">
        <f aca="false">D32/D11</f>
        <v>0.421625079974408</v>
      </c>
      <c r="E33" s="24" t="n">
        <f aca="false">E32/E11</f>
        <v>0.47672131147541</v>
      </c>
      <c r="F33" s="24" t="n">
        <f aca="false">F32/F11</f>
        <v>0.481132075471698</v>
      </c>
      <c r="G33" s="25" t="n">
        <v>0.46</v>
      </c>
      <c r="H33" s="25" t="n">
        <v>0.44</v>
      </c>
      <c r="I33" s="25" t="n">
        <v>0.42</v>
      </c>
      <c r="J33" s="25" t="n">
        <v>0.41</v>
      </c>
      <c r="K33" s="25" t="n">
        <v>0.4</v>
      </c>
      <c r="L33" s="23" t="s">
        <v>88</v>
      </c>
    </row>
    <row r="34" customFormat="false" ht="15" hidden="false" customHeight="true" outlineLevel="0" collapsed="false">
      <c r="A34" s="11" t="s">
        <v>89</v>
      </c>
      <c r="B34" s="21" t="n">
        <v>22</v>
      </c>
      <c r="C34" s="21" t="n">
        <v>22</v>
      </c>
      <c r="D34" s="21" t="n">
        <v>23</v>
      </c>
      <c r="E34" s="21" t="n">
        <v>4</v>
      </c>
      <c r="F34" s="21" t="n">
        <v>10</v>
      </c>
      <c r="G34" s="21" t="n">
        <v>10</v>
      </c>
      <c r="H34" s="21" t="n">
        <v>10</v>
      </c>
      <c r="I34" s="21" t="n">
        <v>10</v>
      </c>
      <c r="J34" s="21" t="n">
        <v>10</v>
      </c>
      <c r="K34" s="21" t="n">
        <v>10</v>
      </c>
    </row>
    <row r="35" customFormat="false" ht="15" hidden="false" customHeight="true" outlineLevel="0" collapsed="false">
      <c r="A35" s="11" t="s">
        <v>90</v>
      </c>
      <c r="B35" s="21" t="n">
        <v>685</v>
      </c>
      <c r="C35" s="21" t="n">
        <v>756</v>
      </c>
      <c r="D35" s="21" t="n">
        <v>931</v>
      </c>
      <c r="E35" s="21" t="n">
        <v>1185</v>
      </c>
      <c r="F35" s="21" t="n">
        <v>1235</v>
      </c>
      <c r="G35" s="21" t="n">
        <v>1235</v>
      </c>
      <c r="H35" s="21" t="n">
        <v>1235</v>
      </c>
      <c r="I35" s="21" t="n">
        <v>1235</v>
      </c>
      <c r="J35" s="21" t="n">
        <v>1235</v>
      </c>
      <c r="K35" s="21" t="n">
        <v>1235</v>
      </c>
      <c r="L35" s="23" t="s">
        <v>91</v>
      </c>
    </row>
    <row r="36" customFormat="false" ht="15" hidden="false" customHeight="true" outlineLevel="0" collapsed="false">
      <c r="A36" s="11" t="s">
        <v>92</v>
      </c>
      <c r="G36" s="26" t="n">
        <f aca="false">G25*$I$5</f>
        <v>15.151915135</v>
      </c>
      <c r="H36" s="26" t="n">
        <f aca="false">H25*$I$5</f>
        <v>14.0637200641</v>
      </c>
      <c r="I36" s="26" t="n">
        <f aca="false">I25*$I$5</f>
        <v>17.414221730416</v>
      </c>
      <c r="J36" s="26" t="n">
        <f aca="false">J25*$I$5</f>
        <v>19.860025553872</v>
      </c>
      <c r="K36" s="26" t="n">
        <f aca="false">K25*$I$5</f>
        <v>22.3178836961722</v>
      </c>
    </row>
    <row r="37" customFormat="false" ht="15" hidden="false" customHeight="true" outlineLevel="0" collapsed="false">
      <c r="A37" s="11" t="s">
        <v>93</v>
      </c>
      <c r="B37" s="21" t="n">
        <v>559</v>
      </c>
      <c r="C37" s="21" t="n">
        <v>673</v>
      </c>
      <c r="D37" s="21" t="n">
        <v>789</v>
      </c>
      <c r="E37" s="21" t="n">
        <v>893</v>
      </c>
      <c r="F37" s="21" t="n">
        <v>975</v>
      </c>
      <c r="G37" s="26" t="n">
        <f aca="false">F37+G25-G36</f>
        <v>1111.367236215</v>
      </c>
      <c r="H37" s="26" t="n">
        <f aca="false">G37+H25-H36</f>
        <v>1237.9407167919</v>
      </c>
      <c r="I37" s="26" t="n">
        <f aca="false">H37+I25-I36</f>
        <v>1394.66871236564</v>
      </c>
      <c r="J37" s="26" t="n">
        <f aca="false">I37+J25-J36</f>
        <v>1573.40894235049</v>
      </c>
      <c r="K37" s="26" t="n">
        <f aca="false">J37+K25-K36</f>
        <v>1774.26989561604</v>
      </c>
    </row>
    <row r="38" customFormat="false" ht="15" hidden="false" customHeight="true" outlineLevel="0" collapsed="false">
      <c r="A38" s="11" t="s">
        <v>94</v>
      </c>
      <c r="B38" s="26" t="n">
        <f aca="false">B37+B35-B29-B32-B34</f>
        <v>1</v>
      </c>
      <c r="C38" s="26" t="n">
        <f aca="false">C37+C35-C29-C32-C34</f>
        <v>0</v>
      </c>
      <c r="D38" s="26" t="n">
        <f aca="false">D37+D35-D29-D32-D34</f>
        <v>0</v>
      </c>
      <c r="E38" s="26" t="n">
        <f aca="false">E37+E35-E29-E32-E34</f>
        <v>0</v>
      </c>
      <c r="F38" s="26" t="n">
        <f aca="false">F37+F35-F29-F32-F34</f>
        <v>-1</v>
      </c>
      <c r="G38" s="26" t="n">
        <f aca="false">G37+G35-G29-G32-G34</f>
        <v>0.745236215000205</v>
      </c>
      <c r="H38" s="26" t="n">
        <f aca="false">H37+H35-H29-H32-H34</f>
        <v>3.30984679189999</v>
      </c>
      <c r="I38" s="26" t="n">
        <f aca="false">I37+I35-I29-I32-I34</f>
        <v>52.3113991656441</v>
      </c>
      <c r="J38" s="26" t="n">
        <f aca="false">J37+J35-J29-J32-J34</f>
        <v>107.316302750492</v>
      </c>
      <c r="K38" s="26" t="n">
        <f aca="false">K37+K35-K29-K32-K34</f>
        <v>182.623253780841</v>
      </c>
      <c r="L38" s="23" t="s">
        <v>95</v>
      </c>
    </row>
    <row r="39" customFormat="false" ht="15" hidden="false" customHeight="true" outlineLevel="0" collapsed="false">
      <c r="A39" s="11" t="s">
        <v>96</v>
      </c>
      <c r="B39" s="21" t="n">
        <v>150</v>
      </c>
      <c r="C39" s="21" t="n">
        <v>160</v>
      </c>
      <c r="D39" s="21" t="n">
        <v>149</v>
      </c>
      <c r="E39" s="21" t="n">
        <v>182</v>
      </c>
      <c r="F39" s="21" t="n">
        <v>228</v>
      </c>
    </row>
    <row r="40" customFormat="false" ht="15" hidden="false" customHeight="true" outlineLevel="0" collapsed="false">
      <c r="A40" s="11" t="s">
        <v>97</v>
      </c>
      <c r="B40" s="26" t="n">
        <f aca="false">B39-B30</f>
        <v>40</v>
      </c>
      <c r="C40" s="26" t="n">
        <f aca="false">C39-C30</f>
        <v>-40</v>
      </c>
      <c r="D40" s="26" t="n">
        <f aca="false">D39-D30</f>
        <v>-102</v>
      </c>
      <c r="E40" s="26" t="n">
        <f aca="false">E39-E30</f>
        <v>-221</v>
      </c>
      <c r="F40" s="26" t="n">
        <f aca="false">F39-F30</f>
        <v>40</v>
      </c>
    </row>
    <row r="41" customFormat="false" ht="15" hidden="false" customHeight="true" outlineLevel="0" collapsed="false">
      <c r="A41" s="19" t="s">
        <v>98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</row>
    <row r="42" customFormat="false" ht="15" hidden="false" customHeight="true" outlineLevel="0" collapsed="false">
      <c r="A42" s="11" t="s">
        <v>99</v>
      </c>
      <c r="B42" s="26" t="n">
        <f aca="false">B18*(1-DCF!$B$12)</f>
        <v>105.5103</v>
      </c>
      <c r="C42" s="26" t="n">
        <f aca="false">C18*(1-DCF!$B$12)</f>
        <v>145.1702</v>
      </c>
      <c r="D42" s="26" t="n">
        <f aca="false">D18*(1-DCF!$B$12)</f>
        <v>157.143</v>
      </c>
      <c r="E42" s="26" t="n">
        <f aca="false">E18*(1-DCF!$B$12)</f>
        <v>151.9049</v>
      </c>
      <c r="F42" s="26" t="n">
        <f aca="false">F18*(1-DCF!$B$12)</f>
        <v>132.4491</v>
      </c>
      <c r="G42" s="26" t="n">
        <f aca="false">G18*(1-G24)</f>
        <v>160.08718635</v>
      </c>
      <c r="H42" s="26" t="n">
        <f aca="false">H18*(1-H24)</f>
        <v>191.858335641</v>
      </c>
      <c r="I42" s="26" t="n">
        <f aca="false">I18*(1-I24)</f>
        <v>225.36335230416</v>
      </c>
      <c r="J42" s="26" t="n">
        <f aca="false">J18*(1-J24)</f>
        <v>249.82139053872</v>
      </c>
      <c r="K42" s="26" t="n">
        <f aca="false">K18*(1-K24)</f>
        <v>274.399971961722</v>
      </c>
      <c r="L42" s="23" t="s">
        <v>100</v>
      </c>
    </row>
    <row r="43" customFormat="false" ht="15" hidden="false" customHeight="true" outlineLevel="0" collapsed="false">
      <c r="A43" s="11" t="s">
        <v>101</v>
      </c>
      <c r="C43" s="26" t="n">
        <f aca="false">C32-B32</f>
        <v>63</v>
      </c>
      <c r="D43" s="26" t="n">
        <f aca="false">D32-C32</f>
        <v>119</v>
      </c>
      <c r="E43" s="26" t="n">
        <f aca="false">E32-D32</f>
        <v>68</v>
      </c>
      <c r="F43" s="26" t="n">
        <f aca="false">F32-E32</f>
        <v>38</v>
      </c>
      <c r="G43" s="26" t="n">
        <f aca="false">G32-F32</f>
        <v>76.1099999999999</v>
      </c>
      <c r="H43" s="26" t="n">
        <f aca="false">H32-G32</f>
        <v>76.0656</v>
      </c>
      <c r="I43" s="26" t="n">
        <f aca="false">I32-H32</f>
        <v>63.3684960000001</v>
      </c>
      <c r="J43" s="26" t="n">
        <f aca="false">J32-I32</f>
        <v>72.3734928</v>
      </c>
      <c r="K43" s="26" t="n">
        <f aca="false">K32-J32</f>
        <v>66.7703836800001</v>
      </c>
    </row>
    <row r="44" customFormat="false" ht="15" hidden="false" customHeight="true" outlineLevel="0" collapsed="false">
      <c r="A44" s="4" t="s">
        <v>102</v>
      </c>
      <c r="B44" s="22" t="n">
        <f aca="false">B42+B16-B30-B43</f>
        <v>63.5103</v>
      </c>
      <c r="C44" s="22" t="n">
        <f aca="false">C42+C16-C30-C43</f>
        <v>-38.8298</v>
      </c>
      <c r="D44" s="22" t="n">
        <f aca="false">D42+D16-D30-D43</f>
        <v>-129.857</v>
      </c>
      <c r="E44" s="22" t="n">
        <f aca="false">E42+E16-E30-E43</f>
        <v>-226.0951</v>
      </c>
      <c r="F44" s="22" t="n">
        <f aca="false">F42+F16-F30-F43</f>
        <v>9.44909999999999</v>
      </c>
      <c r="G44" s="22" t="n">
        <f aca="false">G42+G16-G30-G43</f>
        <v>25.4651863500001</v>
      </c>
      <c r="H44" s="22" t="n">
        <f aca="false">H42+H16-H30-H43</f>
        <v>67.849465641</v>
      </c>
      <c r="I44" s="22" t="n">
        <f aca="false">I42+I16-I30-I43</f>
        <v>117.63690910416</v>
      </c>
      <c r="J44" s="22" t="n">
        <f aca="false">J42+J16-J30-J43</f>
        <v>126.08606413872</v>
      </c>
      <c r="K44" s="22" t="n">
        <f aca="false">K42+K16-K30-K43</f>
        <v>148.845969726522</v>
      </c>
    </row>
    <row r="45" customFormat="false" ht="15" hidden="false" customHeight="true" outlineLevel="0" collapsed="false">
      <c r="A45" s="19" t="s">
        <v>103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</row>
    <row r="46" customFormat="false" ht="15" hidden="false" customHeight="true" outlineLevel="0" collapsed="false">
      <c r="A46" s="11" t="s">
        <v>104</v>
      </c>
      <c r="B46" s="26" t="n">
        <f aca="false">B37+B35</f>
        <v>1244</v>
      </c>
      <c r="C46" s="26" t="n">
        <f aca="false">C37+C35</f>
        <v>1429</v>
      </c>
      <c r="D46" s="26" t="n">
        <f aca="false">D37+D35</f>
        <v>1720</v>
      </c>
      <c r="E46" s="26" t="n">
        <f aca="false">E37+E35</f>
        <v>2078</v>
      </c>
      <c r="F46" s="26" t="n">
        <f aca="false">F37+F35</f>
        <v>2210</v>
      </c>
      <c r="G46" s="26" t="n">
        <f aca="false">G37+G35</f>
        <v>2346.367236215</v>
      </c>
      <c r="H46" s="26" t="n">
        <f aca="false">H37+H35</f>
        <v>2472.9407167919</v>
      </c>
      <c r="I46" s="26" t="n">
        <f aca="false">I37+I35</f>
        <v>2629.66871236564</v>
      </c>
      <c r="J46" s="26" t="n">
        <f aca="false">J37+J35</f>
        <v>2808.40894235049</v>
      </c>
      <c r="K46" s="26" t="n">
        <f aca="false">K37+K35</f>
        <v>3009.26989561604</v>
      </c>
    </row>
    <row r="47" customFormat="false" ht="15" hidden="false" customHeight="true" outlineLevel="0" collapsed="false">
      <c r="A47" s="11" t="s">
        <v>105</v>
      </c>
      <c r="C47" s="24" t="n">
        <f aca="false">(C22+C20)/AVERAGE(B46,C46)</f>
        <v>0.154882154882155</v>
      </c>
      <c r="D47" s="24" t="n">
        <f aca="false">(D22+D20)/AVERAGE(C46,D46)</f>
        <v>0.146713242299143</v>
      </c>
      <c r="E47" s="24" t="n">
        <f aca="false">(E22+E20)/AVERAGE(D46,E46)</f>
        <v>0.119010005265929</v>
      </c>
      <c r="F47" s="24" t="n">
        <f aca="false">(F22+F20)/AVERAGE(E46,F46)</f>
        <v>0.0900186567164179</v>
      </c>
      <c r="G47" s="24" t="n">
        <f aca="false">(G22+G20)/AVERAGE(F46,G46)</f>
        <v>0.126826695488233</v>
      </c>
      <c r="H47" s="24" t="n">
        <f aca="false">(H22+H20)/AVERAGE(G46,H46)</f>
        <v>0.113872063240449</v>
      </c>
      <c r="I47" s="24" t="n">
        <f aca="false">(I22+I20)/AVERAGE(H46,I46)</f>
        <v>0.12509956704748</v>
      </c>
      <c r="J47" s="24" t="n">
        <f aca="false">(J22+J20)/AVERAGE(I46,J46)</f>
        <v>0.129403050394052</v>
      </c>
      <c r="K47" s="24" t="n">
        <f aca="false">(K22+K20)/AVERAGE(J46,K46)</f>
        <v>0.132251305615786</v>
      </c>
      <c r="L47" s="23" t="s">
        <v>106</v>
      </c>
    </row>
    <row r="48" customFormat="false" ht="15" hidden="false" customHeight="true" outlineLevel="0" collapsed="false">
      <c r="A48" s="11" t="s">
        <v>107</v>
      </c>
      <c r="B48" s="26" t="n">
        <f aca="false">B29+B32</f>
        <v>1221</v>
      </c>
      <c r="C48" s="26" t="n">
        <f aca="false">C29+C32</f>
        <v>1407</v>
      </c>
      <c r="D48" s="26" t="n">
        <f aca="false">D29+D32</f>
        <v>1697</v>
      </c>
      <c r="E48" s="26" t="n">
        <f aca="false">E29+E32</f>
        <v>2074</v>
      </c>
      <c r="F48" s="26" t="n">
        <f aca="false">F29+F32</f>
        <v>2201</v>
      </c>
      <c r="G48" s="26" t="n">
        <f aca="false">G29+G32</f>
        <v>2335.622</v>
      </c>
      <c r="H48" s="26" t="n">
        <f aca="false">H29+H32</f>
        <v>2459.63087</v>
      </c>
      <c r="I48" s="26" t="n">
        <f aca="false">I29+I32</f>
        <v>2567.3573132</v>
      </c>
      <c r="J48" s="26" t="n">
        <f aca="false">J29+J32</f>
        <v>2691.0926396</v>
      </c>
      <c r="K48" s="26" t="n">
        <f aca="false">K29+K32</f>
        <v>2816.6466418352</v>
      </c>
    </row>
    <row r="49" customFormat="false" ht="15" hidden="false" customHeight="true" outlineLevel="0" collapsed="false">
      <c r="A49" s="4" t="s">
        <v>108</v>
      </c>
      <c r="C49" s="16" t="n">
        <f aca="false">C42/AVERAGE(B48,C48)</f>
        <v>0.110479604261796</v>
      </c>
      <c r="D49" s="16" t="n">
        <f aca="false">D42/AVERAGE(C48,D48)</f>
        <v>0.101251932989691</v>
      </c>
      <c r="E49" s="16" t="n">
        <f aca="false">E42/AVERAGE(D48,E48)</f>
        <v>0.0805647838769557</v>
      </c>
      <c r="F49" s="16" t="n">
        <f aca="false">F42/AVERAGE(E48,F48)</f>
        <v>0.0619644912280702</v>
      </c>
      <c r="G49" s="16" t="n">
        <f aca="false">G42/AVERAGE(F48,G48)</f>
        <v>0.0705755014854665</v>
      </c>
      <c r="H49" s="16" t="n">
        <f aca="false">H42/AVERAGE(G48,H48)</f>
        <v>0.0800201119074665</v>
      </c>
      <c r="I49" s="16" t="n">
        <f aca="false">I42/AVERAGE(H48,I48)</f>
        <v>0.0896613813644184</v>
      </c>
      <c r="J49" s="16" t="n">
        <f aca="false">J42/AVERAGE(I48,J48)</f>
        <v>0.095017122072521</v>
      </c>
      <c r="K49" s="16" t="n">
        <f aca="false">K42/AVERAGE(J48,K48)</f>
        <v>0.0996415981005619</v>
      </c>
      <c r="L49" s="23" t="s">
        <v>109</v>
      </c>
    </row>
    <row r="50" customFormat="false" ht="15" hidden="false" customHeight="true" outlineLevel="0" collapsed="false">
      <c r="A50" s="11" t="s">
        <v>110</v>
      </c>
      <c r="C50" s="24" t="n">
        <f aca="false">C25/AVERAGE(B37,C37)</f>
        <v>0.207792207792208</v>
      </c>
      <c r="D50" s="24" t="n">
        <f aca="false">D25/AVERAGE(C37,D37)</f>
        <v>0.184678522571819</v>
      </c>
      <c r="E50" s="24" t="n">
        <f aca="false">E25/AVERAGE(D37,E37)</f>
        <v>0.146254458977408</v>
      </c>
      <c r="F50" s="24" t="n">
        <f aca="false">F25/AVERAGE(E37,F37)</f>
        <v>0.105995717344754</v>
      </c>
      <c r="G50" s="24" t="n">
        <f aca="false">G25/AVERAGE(F37,G37)</f>
        <v>0.145246866150831</v>
      </c>
      <c r="H50" s="24" t="n">
        <f aca="false">H25/AVERAGE(G37,H37)</f>
        <v>0.11972649261328</v>
      </c>
      <c r="I50" s="24" t="n">
        <f aca="false">I25/AVERAGE(H37,I37)</f>
        <v>0.132296280166319</v>
      </c>
      <c r="J50" s="24" t="n">
        <f aca="false">J25/AVERAGE(I37,J37)</f>
        <v>0.133824164083547</v>
      </c>
      <c r="K50" s="24" t="n">
        <f aca="false">K25/AVERAGE(J37,K37)</f>
        <v>0.133333481354673</v>
      </c>
    </row>
    <row r="51" customFormat="false" ht="15" hidden="false" customHeight="true" outlineLevel="0" collapsed="false">
      <c r="A51" s="11" t="s">
        <v>111</v>
      </c>
      <c r="B51" s="26" t="n">
        <f aca="false">B35-B34-B38</f>
        <v>662</v>
      </c>
      <c r="C51" s="26" t="n">
        <f aca="false">C35-C34-C38</f>
        <v>734</v>
      </c>
      <c r="D51" s="26" t="n">
        <f aca="false">D35-D34-D38</f>
        <v>908</v>
      </c>
      <c r="E51" s="26" t="n">
        <f aca="false">E35-E34-E38</f>
        <v>1181</v>
      </c>
      <c r="F51" s="26" t="n">
        <f aca="false">F35-F34-F38</f>
        <v>1226</v>
      </c>
      <c r="G51" s="26" t="n">
        <f aca="false">G35-G34-G38</f>
        <v>1224.254763785</v>
      </c>
      <c r="H51" s="26" t="n">
        <f aca="false">H35-H34-H38</f>
        <v>1221.6901532081</v>
      </c>
      <c r="I51" s="26" t="n">
        <f aca="false">I35-I34-I38</f>
        <v>1172.68860083436</v>
      </c>
      <c r="J51" s="26" t="n">
        <f aca="false">J35-J34-J38</f>
        <v>1117.68369724951</v>
      </c>
      <c r="K51" s="26" t="n">
        <f aca="false">K35-K34-K38</f>
        <v>1042.37674621916</v>
      </c>
    </row>
    <row r="52" customFormat="false" ht="15" hidden="false" customHeight="true" outlineLevel="0" collapsed="false">
      <c r="A52" s="11" t="s">
        <v>112</v>
      </c>
      <c r="B52" s="28" t="n">
        <f aca="false">B51/B13</f>
        <v>3.16746411483254</v>
      </c>
      <c r="C52" s="28" t="n">
        <f aca="false">C51/C13</f>
        <v>2.68864468864469</v>
      </c>
      <c r="D52" s="28" t="n">
        <f aca="false">D51/D13</f>
        <v>3.09897610921502</v>
      </c>
      <c r="E52" s="28" t="n">
        <f aca="false">E51/E13</f>
        <v>3.98986486486487</v>
      </c>
      <c r="F52" s="28" t="n">
        <f aca="false">F51/F13</f>
        <v>4.37857142857143</v>
      </c>
      <c r="G52" s="28" t="n">
        <f aca="false">G51/G13</f>
        <v>3.61913771821534</v>
      </c>
      <c r="H52" s="28" t="n">
        <f aca="false">H51/H13</f>
        <v>3.08466251926345</v>
      </c>
      <c r="I52" s="28" t="n">
        <f aca="false">I51/I13</f>
        <v>2.5759074404404</v>
      </c>
      <c r="J52" s="28" t="n">
        <f aca="false">J51/J13</f>
        <v>2.23189511207255</v>
      </c>
      <c r="K52" s="28" t="n">
        <f aca="false">K51/K13</f>
        <v>1.90964693981415</v>
      </c>
    </row>
    <row r="53" customFormat="false" ht="15" hidden="false" customHeight="true" outlineLevel="0" collapsed="false">
      <c r="A53" s="11" t="s">
        <v>113</v>
      </c>
      <c r="B53" s="28" t="n">
        <f aca="false">B13/B20</f>
        <v>7.46428571428571</v>
      </c>
      <c r="C53" s="28" t="n">
        <f aca="false">C13/C20</f>
        <v>9.1</v>
      </c>
      <c r="D53" s="28" t="n">
        <f aca="false">D13/D20</f>
        <v>6.97619047619048</v>
      </c>
      <c r="E53" s="28" t="n">
        <f aca="false">E13/E20</f>
        <v>4.93333333333333</v>
      </c>
      <c r="F53" s="28" t="n">
        <f aca="false">F13/F20</f>
        <v>3.58974358974359</v>
      </c>
      <c r="G53" s="28" t="n">
        <f aca="false">G13/G20</f>
        <v>3.91292654713707</v>
      </c>
      <c r="H53" s="28" t="n">
        <f aca="false">H13/H20</f>
        <v>4.5812967032967</v>
      </c>
      <c r="I53" s="28" t="n">
        <f aca="false">I13/I20</f>
        <v>5.26608</v>
      </c>
      <c r="J53" s="28" t="n">
        <f aca="false">J13/J20</f>
        <v>5.792688</v>
      </c>
      <c r="K53" s="28" t="n">
        <f aca="false">K13/K20</f>
        <v>6.31402992</v>
      </c>
      <c r="L53" s="23" t="s">
        <v>114</v>
      </c>
    </row>
    <row r="54" customFormat="false" ht="15" hidden="false" customHeight="true" outlineLevel="0" collapsed="false">
      <c r="A54" s="11" t="s">
        <v>115</v>
      </c>
      <c r="B54" s="28" t="n">
        <f aca="false">B35/B37</f>
        <v>1.22540250447227</v>
      </c>
      <c r="C54" s="28" t="n">
        <f aca="false">C35/C37</f>
        <v>1.12332838038633</v>
      </c>
      <c r="D54" s="28" t="n">
        <f aca="false">D35/D37</f>
        <v>1.17997465145754</v>
      </c>
      <c r="E54" s="28" t="n">
        <f aca="false">E35/E37</f>
        <v>1.32698768197088</v>
      </c>
      <c r="F54" s="28" t="n">
        <f aca="false">F35/F37</f>
        <v>1.26666666666667</v>
      </c>
      <c r="G54" s="28" t="n">
        <f aca="false">G35/G37</f>
        <v>1.11124384429944</v>
      </c>
      <c r="H54" s="28" t="n">
        <f aca="false">H35/H37</f>
        <v>0.997624509193364</v>
      </c>
      <c r="I54" s="28" t="n">
        <f aca="false">I35/I37</f>
        <v>0.885514953515511</v>
      </c>
      <c r="J54" s="28" t="n">
        <f aca="false">J35/J37</f>
        <v>0.78491990655338</v>
      </c>
      <c r="K54" s="28" t="n">
        <f aca="false">K35/K37</f>
        <v>0.696060956143991</v>
      </c>
    </row>
    <row r="55" customFormat="false" ht="15" hidden="false" customHeight="true" outlineLevel="0" collapsed="false">
      <c r="A55" s="11" t="s">
        <v>116</v>
      </c>
      <c r="B55" s="29" t="n">
        <f aca="false">B37/DCF!$B$5</f>
        <v>115.97510373444</v>
      </c>
      <c r="C55" s="29" t="n">
        <f aca="false">C37/DCF!$B$5</f>
        <v>139.626556016598</v>
      </c>
      <c r="D55" s="29" t="n">
        <f aca="false">D37/DCF!$B$5</f>
        <v>163.692946058091</v>
      </c>
      <c r="E55" s="29" t="n">
        <f aca="false">E37/DCF!$B$5</f>
        <v>185.269709543568</v>
      </c>
      <c r="F55" s="29" t="n">
        <f aca="false">F37/DCF!$B$5</f>
        <v>202.282157676349</v>
      </c>
      <c r="G55" s="29" t="n">
        <f aca="false">G37/DCF!$B$5</f>
        <v>230.574115397303</v>
      </c>
      <c r="H55" s="29" t="n">
        <f aca="false">H37/DCF!$B$5</f>
        <v>256.834173608278</v>
      </c>
      <c r="I55" s="29" t="n">
        <f aca="false">I37/DCF!$B$5</f>
        <v>289.350355262582</v>
      </c>
      <c r="J55" s="29" t="n">
        <f aca="false">J37/DCF!$B$5</f>
        <v>326.433390529148</v>
      </c>
      <c r="K55" s="29" t="n">
        <f aca="false">K37/DCF!$B$5</f>
        <v>368.105787472208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1"/>
    <col collapsed="false" customWidth="true" hidden="false" outlineLevel="0" max="8" min="3" style="1" width="10"/>
  </cols>
  <sheetData>
    <row r="1" customFormat="false" ht="15.75" hidden="false" customHeight="true" outlineLevel="0" collapsed="false">
      <c r="A1" s="12" t="s">
        <v>117</v>
      </c>
    </row>
    <row r="2" customFormat="false" ht="15" hidden="false" customHeight="true" outlineLevel="0" collapsed="false">
      <c r="A2" s="3" t="s">
        <v>118</v>
      </c>
    </row>
    <row r="3" customFormat="false" ht="15" hidden="false" customHeight="true" outlineLevel="0" collapsed="false">
      <c r="A3" s="19" t="s">
        <v>119</v>
      </c>
      <c r="B3" s="20"/>
      <c r="C3" s="20"/>
      <c r="D3" s="20"/>
      <c r="E3" s="20"/>
      <c r="F3" s="20"/>
      <c r="G3" s="20"/>
      <c r="H3" s="20"/>
    </row>
    <row r="4" customFormat="false" ht="15" hidden="false" customHeight="true" outlineLevel="0" collapsed="false">
      <c r="A4" s="11" t="s">
        <v>120</v>
      </c>
      <c r="B4" s="30" t="n">
        <v>612</v>
      </c>
    </row>
    <row r="5" customFormat="false" ht="15" hidden="false" customHeight="true" outlineLevel="0" collapsed="false">
      <c r="A5" s="11" t="s">
        <v>121</v>
      </c>
      <c r="B5" s="30" t="n">
        <v>4.82</v>
      </c>
    </row>
    <row r="6" customFormat="false" ht="15" hidden="false" customHeight="true" outlineLevel="0" collapsed="false">
      <c r="A6" s="11" t="s">
        <v>122</v>
      </c>
      <c r="B6" s="26" t="n">
        <f aca="false">B4*B5</f>
        <v>2949.84</v>
      </c>
    </row>
    <row r="8" customFormat="false" ht="15" hidden="false" customHeight="true" outlineLevel="0" collapsed="false">
      <c r="A8" s="11" t="s">
        <v>123</v>
      </c>
      <c r="B8" s="31" t="n">
        <v>0.071</v>
      </c>
    </row>
    <row r="9" customFormat="false" ht="15" hidden="false" customHeight="true" outlineLevel="0" collapsed="false">
      <c r="A9" s="11" t="s">
        <v>124</v>
      </c>
      <c r="B9" s="31" t="n">
        <v>0.065</v>
      </c>
    </row>
    <row r="10" customFormat="false" ht="15" hidden="false" customHeight="true" outlineLevel="0" collapsed="false">
      <c r="A10" s="11" t="s">
        <v>125</v>
      </c>
      <c r="B10" s="32" t="n">
        <v>1</v>
      </c>
      <c r="C10" s="23" t="s">
        <v>126</v>
      </c>
    </row>
    <row r="11" customFormat="false" ht="15" hidden="false" customHeight="true" outlineLevel="0" collapsed="false">
      <c r="A11" s="11" t="s">
        <v>127</v>
      </c>
      <c r="B11" s="33" t="n">
        <f aca="false">Model!F35</f>
        <v>1235</v>
      </c>
    </row>
    <row r="12" customFormat="false" ht="15" hidden="false" customHeight="true" outlineLevel="0" collapsed="false">
      <c r="A12" s="11" t="s">
        <v>128</v>
      </c>
      <c r="B12" s="31" t="n">
        <v>0.2517</v>
      </c>
    </row>
    <row r="13" customFormat="false" ht="15" hidden="false" customHeight="true" outlineLevel="0" collapsed="false">
      <c r="A13" s="11" t="s">
        <v>129</v>
      </c>
      <c r="B13" s="28" t="n">
        <f aca="false">B11/B6</f>
        <v>0.418666775147127</v>
      </c>
    </row>
    <row r="14" customFormat="false" ht="15" hidden="false" customHeight="true" outlineLevel="0" collapsed="false">
      <c r="A14" s="11" t="s">
        <v>130</v>
      </c>
      <c r="B14" s="27" t="n">
        <f aca="false">B10*(1+(1-B12)*B13)</f>
        <v>1.31328834784259</v>
      </c>
    </row>
    <row r="15" customFormat="false" ht="15" hidden="false" customHeight="true" outlineLevel="0" collapsed="false">
      <c r="A15" s="11" t="s">
        <v>131</v>
      </c>
      <c r="B15" s="34" t="n">
        <f aca="false">B8+B14*B9</f>
        <v>0.156363742609769</v>
      </c>
    </row>
    <row r="16" customFormat="false" ht="15" hidden="false" customHeight="true" outlineLevel="0" collapsed="false">
      <c r="A16" s="11" t="s">
        <v>132</v>
      </c>
      <c r="B16" s="35" t="n">
        <v>0.0875</v>
      </c>
      <c r="C16" s="23" t="s">
        <v>133</v>
      </c>
    </row>
    <row r="17" customFormat="false" ht="15" hidden="false" customHeight="true" outlineLevel="0" collapsed="false">
      <c r="A17" s="11" t="s">
        <v>134</v>
      </c>
      <c r="B17" s="34" t="n">
        <f aca="false">B16*(1-B12)</f>
        <v>0.06547625</v>
      </c>
    </row>
    <row r="18" customFormat="false" ht="15" hidden="false" customHeight="true" outlineLevel="0" collapsed="false">
      <c r="A18" s="11" t="s">
        <v>135</v>
      </c>
      <c r="B18" s="24" t="n">
        <f aca="false">B6/(B6+B11)</f>
        <v>0.704887164144866</v>
      </c>
    </row>
    <row r="19" customFormat="false" ht="15" hidden="false" customHeight="true" outlineLevel="0" collapsed="false">
      <c r="A19" s="11" t="s">
        <v>136</v>
      </c>
      <c r="B19" s="24" t="n">
        <f aca="false">1-B18</f>
        <v>0.295112835855134</v>
      </c>
    </row>
    <row r="20" customFormat="false" ht="15" hidden="false" customHeight="true" outlineLevel="0" collapsed="false">
      <c r="A20" s="4" t="s">
        <v>5</v>
      </c>
      <c r="B20" s="36" t="n">
        <f aca="false">B18*B15+B19*B17</f>
        <v>0.129541676921937</v>
      </c>
    </row>
    <row r="21" customFormat="false" ht="15" hidden="false" customHeight="true" outlineLevel="0" collapsed="false">
      <c r="A21" s="11" t="s">
        <v>137</v>
      </c>
      <c r="B21" s="35" t="n">
        <v>0.06</v>
      </c>
      <c r="C21" s="23" t="s">
        <v>138</v>
      </c>
    </row>
    <row r="22" customFormat="false" ht="15" hidden="false" customHeight="true" outlineLevel="0" collapsed="false">
      <c r="A22" s="11" t="s">
        <v>139</v>
      </c>
      <c r="B22" s="25" t="n">
        <v>0.15</v>
      </c>
      <c r="C22" s="23" t="s">
        <v>140</v>
      </c>
    </row>
    <row r="24" customFormat="false" ht="15" hidden="false" customHeight="true" outlineLevel="0" collapsed="false">
      <c r="A24" s="17" t="s">
        <v>39</v>
      </c>
      <c r="B24" s="18"/>
      <c r="C24" s="18" t="s">
        <v>45</v>
      </c>
      <c r="D24" s="18" t="s">
        <v>46</v>
      </c>
      <c r="E24" s="18" t="s">
        <v>47</v>
      </c>
      <c r="F24" s="18" t="s">
        <v>48</v>
      </c>
      <c r="G24" s="18" t="s">
        <v>49</v>
      </c>
    </row>
    <row r="25" customFormat="false" ht="15" hidden="false" customHeight="true" outlineLevel="0" collapsed="false">
      <c r="A25" s="11" t="s">
        <v>141</v>
      </c>
      <c r="C25" s="33" t="n">
        <f aca="false">Model!G44</f>
        <v>25.4651863500001</v>
      </c>
      <c r="D25" s="33" t="n">
        <f aca="false">Model!H44</f>
        <v>67.849465641</v>
      </c>
      <c r="E25" s="33" t="n">
        <f aca="false">Model!I44</f>
        <v>117.63690910416</v>
      </c>
      <c r="F25" s="33" t="n">
        <f aca="false">Model!J44</f>
        <v>126.08606413872</v>
      </c>
      <c r="G25" s="33" t="n">
        <f aca="false">Model!K44</f>
        <v>148.845969726522</v>
      </c>
    </row>
    <row r="26" customFormat="false" ht="15" hidden="false" customHeight="true" outlineLevel="0" collapsed="false">
      <c r="A26" s="11" t="s">
        <v>142</v>
      </c>
      <c r="C26" s="30" t="n">
        <v>0.5</v>
      </c>
      <c r="D26" s="30" t="n">
        <v>1</v>
      </c>
      <c r="E26" s="30" t="n">
        <v>1</v>
      </c>
      <c r="F26" s="30" t="n">
        <v>1</v>
      </c>
      <c r="G26" s="30" t="n">
        <v>1</v>
      </c>
    </row>
    <row r="27" customFormat="false" ht="15" hidden="false" customHeight="true" outlineLevel="0" collapsed="false">
      <c r="A27" s="11" t="s">
        <v>143</v>
      </c>
      <c r="C27" s="26" t="n">
        <f aca="false">C25*C26</f>
        <v>12.732593175</v>
      </c>
      <c r="D27" s="26" t="n">
        <f aca="false">D25*D26</f>
        <v>67.849465641</v>
      </c>
      <c r="E27" s="26" t="n">
        <f aca="false">E25*E26</f>
        <v>117.63690910416</v>
      </c>
      <c r="F27" s="26" t="n">
        <f aca="false">F25*F26</f>
        <v>126.08606413872</v>
      </c>
      <c r="G27" s="26" t="n">
        <f aca="false">G25*G26</f>
        <v>148.845969726522</v>
      </c>
    </row>
    <row r="28" customFormat="false" ht="15" hidden="false" customHeight="true" outlineLevel="0" collapsed="false">
      <c r="A28" s="11" t="s">
        <v>144</v>
      </c>
      <c r="C28" s="30" t="n">
        <v>0.25</v>
      </c>
      <c r="D28" s="30" t="n">
        <v>1</v>
      </c>
      <c r="E28" s="30" t="n">
        <v>2</v>
      </c>
      <c r="F28" s="30" t="n">
        <v>3</v>
      </c>
      <c r="G28" s="30" t="n">
        <v>4</v>
      </c>
    </row>
    <row r="29" customFormat="false" ht="15" hidden="false" customHeight="true" outlineLevel="0" collapsed="false">
      <c r="A29" s="11" t="s">
        <v>145</v>
      </c>
      <c r="C29" s="37" t="n">
        <f aca="false">1/(1+$B$20)^C28</f>
        <v>0.970006032239006</v>
      </c>
      <c r="D29" s="37" t="n">
        <f aca="false">1/(1+$B$20)^D28</f>
        <v>0.885314832052107</v>
      </c>
      <c r="E29" s="37" t="n">
        <f aca="false">1/(1+$B$20)^E28</f>
        <v>0.78378235185145</v>
      </c>
      <c r="F29" s="37" t="n">
        <f aca="false">1/(1+$B$20)^F28</f>
        <v>0.693894141194772</v>
      </c>
      <c r="G29" s="37" t="n">
        <f aca="false">1/(1+$B$20)^G28</f>
        <v>0.61431477507379</v>
      </c>
    </row>
    <row r="30" customFormat="false" ht="15" hidden="false" customHeight="true" outlineLevel="0" collapsed="false">
      <c r="A30" s="11" t="s">
        <v>146</v>
      </c>
      <c r="C30" s="26" t="n">
        <f aca="false">C27*C29</f>
        <v>12.3506921857952</v>
      </c>
      <c r="D30" s="26" t="n">
        <f aca="false">D27*D29</f>
        <v>60.0681382787871</v>
      </c>
      <c r="E30" s="26" t="n">
        <f aca="false">E27*E29</f>
        <v>92.2017332821937</v>
      </c>
      <c r="F30" s="26" t="n">
        <f aca="false">F27*F29</f>
        <v>87.490381192166</v>
      </c>
      <c r="G30" s="26" t="n">
        <f aca="false">G27*G29</f>
        <v>91.4382784131884</v>
      </c>
    </row>
    <row r="32" customFormat="false" ht="15" hidden="false" customHeight="true" outlineLevel="0" collapsed="false">
      <c r="A32" s="19" t="s">
        <v>147</v>
      </c>
      <c r="B32" s="20"/>
      <c r="C32" s="20"/>
      <c r="D32" s="20"/>
      <c r="E32" s="20"/>
      <c r="F32" s="20"/>
      <c r="G32" s="20"/>
      <c r="H32" s="20"/>
    </row>
    <row r="33" customFormat="false" ht="15" hidden="false" customHeight="true" outlineLevel="0" collapsed="false">
      <c r="A33" s="11" t="s">
        <v>148</v>
      </c>
      <c r="B33" s="26" t="n">
        <f aca="false">Model!K42*(1+B21)</f>
        <v>290.863970279425</v>
      </c>
    </row>
    <row r="34" customFormat="false" ht="15" hidden="false" customHeight="true" outlineLevel="0" collapsed="false">
      <c r="A34" s="11" t="s">
        <v>149</v>
      </c>
      <c r="B34" s="24" t="n">
        <f aca="false">B21/B22</f>
        <v>0.4</v>
      </c>
    </row>
    <row r="35" customFormat="false" ht="15" hidden="false" customHeight="true" outlineLevel="0" collapsed="false">
      <c r="A35" s="11" t="s">
        <v>150</v>
      </c>
      <c r="B35" s="26" t="n">
        <f aca="false">B33*(1-B34)</f>
        <v>174.518382167655</v>
      </c>
    </row>
    <row r="36" customFormat="false" ht="15" hidden="false" customHeight="true" outlineLevel="0" collapsed="false">
      <c r="A36" s="11" t="s">
        <v>151</v>
      </c>
      <c r="B36" s="26" t="n">
        <f aca="false">B35/(B20-B21)</f>
        <v>2509.55096126827</v>
      </c>
    </row>
    <row r="37" customFormat="false" ht="15" hidden="false" customHeight="true" outlineLevel="0" collapsed="false">
      <c r="A37" s="11" t="s">
        <v>152</v>
      </c>
      <c r="B37" s="37" t="n">
        <f aca="false">1/(1+B20)^4.5</f>
        <v>0.578015960934767</v>
      </c>
    </row>
    <row r="38" customFormat="false" ht="15" hidden="false" customHeight="true" outlineLevel="0" collapsed="false">
      <c r="A38" s="11" t="s">
        <v>153</v>
      </c>
      <c r="B38" s="26" t="n">
        <f aca="false">B36*B37</f>
        <v>1450.56051039225</v>
      </c>
    </row>
    <row r="39" customFormat="false" ht="15" hidden="false" customHeight="true" outlineLevel="0" collapsed="false">
      <c r="A39" s="11" t="s">
        <v>154</v>
      </c>
      <c r="B39" s="28" t="n">
        <f aca="false">B36/Model!K13</f>
        <v>4.59752803473038</v>
      </c>
    </row>
    <row r="41" customFormat="false" ht="15" hidden="false" customHeight="true" outlineLevel="0" collapsed="false">
      <c r="A41" s="19" t="s">
        <v>155</v>
      </c>
      <c r="B41" s="20"/>
      <c r="C41" s="20"/>
      <c r="D41" s="20"/>
      <c r="E41" s="20"/>
      <c r="F41" s="20"/>
      <c r="G41" s="20"/>
      <c r="H41" s="20"/>
    </row>
    <row r="42" customFormat="false" ht="15" hidden="false" customHeight="true" outlineLevel="0" collapsed="false">
      <c r="A42" s="11" t="s">
        <v>156</v>
      </c>
      <c r="B42" s="26" t="n">
        <f aca="false">SUM(C30:G30)</f>
        <v>343.54922335213</v>
      </c>
    </row>
    <row r="43" customFormat="false" ht="15" hidden="false" customHeight="true" outlineLevel="0" collapsed="false">
      <c r="A43" s="11" t="s">
        <v>153</v>
      </c>
      <c r="B43" s="26" t="n">
        <f aca="false">B38</f>
        <v>1450.56051039225</v>
      </c>
    </row>
    <row r="44" customFormat="false" ht="15" hidden="false" customHeight="true" outlineLevel="0" collapsed="false">
      <c r="A44" s="4" t="s">
        <v>157</v>
      </c>
      <c r="B44" s="22" t="n">
        <f aca="false">B42+B43</f>
        <v>1794.10973374438</v>
      </c>
    </row>
    <row r="45" customFormat="false" ht="15" hidden="false" customHeight="true" outlineLevel="0" collapsed="false">
      <c r="A45" s="11" t="s">
        <v>158</v>
      </c>
      <c r="B45" s="24" t="n">
        <f aca="false">B43/B44</f>
        <v>0.808512703046803</v>
      </c>
    </row>
    <row r="46" customFormat="false" ht="15" hidden="false" customHeight="true" outlineLevel="0" collapsed="false">
      <c r="A46" s="11" t="s">
        <v>159</v>
      </c>
      <c r="B46" s="26" t="n">
        <f aca="false">B11</f>
        <v>1235</v>
      </c>
    </row>
    <row r="47" customFormat="false" ht="15" hidden="false" customHeight="true" outlineLevel="0" collapsed="false">
      <c r="A47" s="11" t="s">
        <v>160</v>
      </c>
      <c r="B47" s="26" t="n">
        <f aca="false">Model!F34</f>
        <v>10</v>
      </c>
    </row>
    <row r="48" customFormat="false" ht="15" hidden="false" customHeight="true" outlineLevel="0" collapsed="false">
      <c r="A48" s="11" t="s">
        <v>161</v>
      </c>
      <c r="B48" s="26" t="n">
        <f aca="false">B44-B46+B47</f>
        <v>569.109733744376</v>
      </c>
    </row>
    <row r="49" customFormat="false" ht="15" hidden="false" customHeight="true" outlineLevel="0" collapsed="false">
      <c r="A49" s="4" t="s">
        <v>162</v>
      </c>
      <c r="B49" s="22" t="n">
        <f aca="false">B48/B5</f>
        <v>118.072558868128</v>
      </c>
    </row>
    <row r="50" customFormat="false" ht="15" hidden="false" customHeight="true" outlineLevel="0" collapsed="false">
      <c r="A50" s="11" t="s">
        <v>163</v>
      </c>
      <c r="B50" s="24" t="n">
        <f aca="false">B49/B4-1</f>
        <v>-0.807070982241621</v>
      </c>
    </row>
    <row r="51" customFormat="false" ht="15" hidden="false" customHeight="true" outlineLevel="0" collapsed="false">
      <c r="A51" s="11" t="s">
        <v>164</v>
      </c>
      <c r="B51" s="28" t="n">
        <f aca="false">B44/Model!G13</f>
        <v>5.30374101868871</v>
      </c>
    </row>
    <row r="52" customFormat="false" ht="15" hidden="false" customHeight="true" outlineLevel="0" collapsed="false">
      <c r="A52" s="11" t="s">
        <v>165</v>
      </c>
      <c r="B52" s="28" t="n">
        <f aca="false">B49/Model!G27</f>
        <v>3.75602508774463</v>
      </c>
    </row>
    <row r="54" customFormat="false" ht="15" hidden="false" customHeight="true" outlineLevel="0" collapsed="false">
      <c r="A54" s="19" t="s">
        <v>166</v>
      </c>
      <c r="B54" s="20"/>
      <c r="C54" s="20"/>
      <c r="D54" s="20"/>
      <c r="E54" s="20"/>
      <c r="F54" s="20"/>
      <c r="G54" s="20"/>
      <c r="H54" s="20"/>
    </row>
    <row r="55" customFormat="false" ht="15" hidden="false" customHeight="true" outlineLevel="0" collapsed="false">
      <c r="A55" s="11" t="s">
        <v>167</v>
      </c>
      <c r="B55" s="26" t="n">
        <f aca="false">B6+B11-B47</f>
        <v>4174.84</v>
      </c>
    </row>
    <row r="56" customFormat="false" ht="15" hidden="false" customHeight="true" outlineLevel="0" collapsed="false">
      <c r="A56" s="11" t="s">
        <v>168</v>
      </c>
      <c r="B56" s="28" t="n">
        <f aca="false">B55/Quarterly!P5</f>
        <v>14.297397260274</v>
      </c>
    </row>
    <row r="57" customFormat="false" ht="15" hidden="false" customHeight="true" outlineLevel="0" collapsed="false">
      <c r="A57" s="11" t="s">
        <v>169</v>
      </c>
      <c r="B57" s="28" t="n">
        <f aca="false">B4/Model!F27</f>
        <v>29.7963636363636</v>
      </c>
    </row>
    <row r="58" customFormat="false" ht="15" hidden="false" customHeight="true" outlineLevel="0" collapsed="false">
      <c r="A58" s="11" t="s">
        <v>170</v>
      </c>
      <c r="B58" s="28" t="n">
        <f aca="false">B4/Model!F55</f>
        <v>3.02547692307692</v>
      </c>
    </row>
    <row r="59" customFormat="false" ht="15" hidden="false" customHeight="true" outlineLevel="0" collapsed="false">
      <c r="A59" s="11" t="s">
        <v>171</v>
      </c>
      <c r="B59" s="26" t="n">
        <f aca="false">B55-B42</f>
        <v>3831.29077664787</v>
      </c>
    </row>
    <row r="60" customFormat="false" ht="15" hidden="false" customHeight="true" outlineLevel="0" collapsed="false">
      <c r="A60" s="11" t="s">
        <v>172</v>
      </c>
      <c r="B60" s="26" t="n">
        <f aca="false">B59/B37</f>
        <v>6628.34771976177</v>
      </c>
    </row>
    <row r="61" customFormat="false" ht="15" hidden="false" customHeight="true" outlineLevel="0" collapsed="false">
      <c r="A61" s="4" t="s">
        <v>173</v>
      </c>
      <c r="B61" s="38" t="n">
        <f aca="false">B60/Model!K13</f>
        <v>12.1432140394332</v>
      </c>
    </row>
    <row r="62" customFormat="false" ht="15" hidden="false" customHeight="true" outlineLevel="0" collapsed="false">
      <c r="A62" s="11" t="s">
        <v>174</v>
      </c>
      <c r="B62" s="26" t="n">
        <f aca="false">B60*(B20-B21)/(1-B34)</f>
        <v>768.244026089888</v>
      </c>
    </row>
    <row r="63" customFormat="false" ht="15" hidden="false" customHeight="true" outlineLevel="0" collapsed="false">
      <c r="A63" s="11" t="s">
        <v>175</v>
      </c>
      <c r="B63" s="28" t="n">
        <f aca="false">B62/B33</f>
        <v>2.64124850304373</v>
      </c>
    </row>
    <row r="64" customFormat="false" ht="15" hidden="false" customHeight="true" outlineLevel="0" collapsed="false">
      <c r="A64" s="4" t="s">
        <v>176</v>
      </c>
      <c r="B64" s="16" t="n">
        <f aca="false">(B62/(1+B21)/(1-B12)+Model!K16)/Model!K11</f>
        <v>0.410003553898729</v>
      </c>
    </row>
    <row r="65" customFormat="false" ht="15" hidden="false" customHeight="true" outlineLevel="0" collapsed="false">
      <c r="A65" s="11" t="s">
        <v>177</v>
      </c>
      <c r="B65" s="24" t="n">
        <f aca="false">B62/(1+B21)/Model!K48</f>
        <v>0.257312544787982</v>
      </c>
    </row>
    <row r="66" customFormat="false" ht="15" hidden="false" customHeight="true" outlineLevel="0" collapsed="false">
      <c r="A66" s="11" t="s">
        <v>178</v>
      </c>
      <c r="B66" s="34" t="n">
        <f aca="false">(B60*B20-Model!K44)/(B60+Model!K44)</f>
        <v>0.104733808953114</v>
      </c>
    </row>
    <row r="68" customFormat="false" ht="15" hidden="false" customHeight="true" outlineLevel="0" collapsed="false">
      <c r="A68" s="19" t="s">
        <v>179</v>
      </c>
      <c r="B68" s="20"/>
      <c r="C68" s="20"/>
      <c r="D68" s="20"/>
      <c r="E68" s="20"/>
      <c r="F68" s="20"/>
      <c r="G68" s="20"/>
      <c r="H68" s="20"/>
    </row>
    <row r="69" customFormat="false" ht="15" hidden="false" customHeight="true" outlineLevel="0" collapsed="false">
      <c r="C69" s="39" t="n">
        <v>0.04</v>
      </c>
      <c r="D69" s="39" t="n">
        <v>0.05</v>
      </c>
      <c r="E69" s="39" t="n">
        <v>0.06</v>
      </c>
      <c r="F69" s="39" t="n">
        <v>0.07</v>
      </c>
      <c r="G69" s="39" t="n">
        <v>0.08</v>
      </c>
    </row>
    <row r="70" customFormat="false" ht="15" hidden="false" customHeight="true" outlineLevel="0" collapsed="false">
      <c r="B70" s="39" t="n">
        <v>0.11</v>
      </c>
      <c r="C70" s="26" t="n">
        <f aca="false">(SUMPRODUCT($C$27:$G$27,(1+$B70)^(-$C$28:$G$28))+Model!$K$42*(1+C$69)*(1-C$69/$B$22)/($B70-C$69)*(1+$B70)^(-4.5)-$B$46+$B$47)/$B$5</f>
        <v>208.194930276941</v>
      </c>
      <c r="D70" s="26" t="n">
        <f aca="false">(SUMPRODUCT($C$27:$G$27,(1+$B70)^(-$C$28:$G$28))+Model!$K$42*(1+D$69)*(1-D$69/$B$22)/($B70-D$69)*(1+$B70)^(-4.5)-$B$46+$B$47)/$B$5</f>
        <v>235.653590284288</v>
      </c>
      <c r="E70" s="26" t="n">
        <f aca="false">(SUMPRODUCT($C$27:$G$27,(1+$B70)^(-$C$28:$G$28))+Model!$K$42*(1+E$69)*(1-E$69/$B$22)/($B70-E$69)*(1+$B70)^(-4.5)-$B$46+$B$47)/$B$5</f>
        <v>273.146526047407</v>
      </c>
      <c r="F70" s="26" t="n">
        <f aca="false">(SUMPRODUCT($C$27:$G$27,(1+$B70)^(-$C$28:$G$28))+Model!$K$42*(1+F$69)*(1-F$69/$B$22)/($B70-F$69)*(1+$B70)^(-4.5)-$B$46+$B$47)/$B$5</f>
        <v>328.199444383125</v>
      </c>
      <c r="G70" s="26" t="n">
        <f aca="false">(SUMPRODUCT($C$27:$G$27,(1+$B70)^(-$C$28:$G$28))+Model!$K$42*(1+G$69)*(1-G$69/$B$22)/($B70-G$69)*(1+$B70)^(-4.5)-$B$46+$B$47)/$B$5</f>
        <v>418.372327864043</v>
      </c>
    </row>
    <row r="71" customFormat="false" ht="15" hidden="false" customHeight="true" outlineLevel="0" collapsed="false">
      <c r="B71" s="39" t="n">
        <v>0.12</v>
      </c>
      <c r="C71" s="26" t="n">
        <f aca="false">(SUMPRODUCT($C$27:$G$27,(1+$B71)^(-$C$28:$G$28))+Model!$K$42*(1+C$69)*(1-C$69/$B$22)/($B71-C$69)*(1+$B71)^(-4.5)-$B$46+$B$47)/$B$5</f>
        <v>144.600248109269</v>
      </c>
      <c r="D71" s="26" t="n">
        <f aca="false">(SUMPRODUCT($C$27:$G$27,(1+$B71)^(-$C$28:$G$28))+Model!$K$42*(1+D$69)*(1-D$69/$B$22)/($B71-D$69)*(1+$B71)^(-4.5)-$B$46+$B$47)/$B$5</f>
        <v>160.553995211521</v>
      </c>
      <c r="E71" s="26" t="n">
        <f aca="false">(SUMPRODUCT($C$27:$G$27,(1+$B71)^(-$C$28:$G$28))+Model!$K$42*(1+E$69)*(1-E$69/$B$22)/($B71-E$69)*(1+$B71)^(-4.5)-$B$46+$B$47)/$B$5</f>
        <v>181.06595577156</v>
      </c>
      <c r="F71" s="26" t="n">
        <f aca="false">(SUMPRODUCT($C$27:$G$27,(1+$B71)^(-$C$28:$G$28))+Model!$K$42*(1+F$69)*(1-F$69/$B$22)/($B71-F$69)*(1+$B71)^(-4.5)-$B$46+$B$47)/$B$5</f>
        <v>208.871057864058</v>
      </c>
      <c r="G71" s="26" t="n">
        <f aca="false">(SUMPRODUCT($C$27:$G$27,(1+$B71)^(-$C$28:$G$28))+Model!$K$42*(1+G$69)*(1-G$69/$B$22)/($B71-G$69)*(1+$B71)^(-4.5)-$B$46+$B$47)/$B$5</f>
        <v>249.439157638357</v>
      </c>
    </row>
    <row r="72" customFormat="false" ht="15" hidden="false" customHeight="true" outlineLevel="0" collapsed="false">
      <c r="B72" s="39" t="n">
        <v>0.13</v>
      </c>
      <c r="C72" s="26" t="n">
        <f aca="false">(SUMPRODUCT($C$27:$G$27,(1+$B72)^(-$C$28:$G$28))+Model!$K$42*(1+C$69)*(1-C$69/$B$22)/($B72-C$69)*(1+$B72)^(-4.5)-$B$46+$B$47)/$B$5</f>
        <v>95.3931539738572</v>
      </c>
      <c r="D72" s="26" t="n">
        <f aca="false">(SUMPRODUCT($C$27:$G$27,(1+$B72)^(-$C$28:$G$28))+Model!$K$42*(1+D$69)*(1-D$69/$B$22)/($B72-D$69)*(1+$B72)^(-4.5)-$B$46+$B$47)/$B$5</f>
        <v>104.456249078435</v>
      </c>
      <c r="E72" s="26" t="n">
        <f aca="false">(SUMPRODUCT($C$27:$G$27,(1+$B72)^(-$C$28:$G$28))+Model!$K$42*(1+E$69)*(1-E$69/$B$22)/($B72-E$69)*(1+$B72)^(-4.5)-$B$46+$B$47)/$B$5</f>
        <v>115.483159613153</v>
      </c>
      <c r="F72" s="26" t="n">
        <f aca="false">(SUMPRODUCT($C$27:$G$27,(1+$B72)^(-$C$28:$G$28))+Model!$K$42*(1+F$69)*(1-F$69/$B$22)/($B72-F$69)*(1+$B72)^(-4.5)-$B$46+$B$47)/$B$5</f>
        <v>129.455793293078</v>
      </c>
      <c r="G72" s="26" t="n">
        <f aca="false">(SUMPRODUCT($C$27:$G$27,(1+$B72)^(-$C$28:$G$28))+Model!$K$42*(1+G$69)*(1-G$69/$B$22)/($B72-G$69)*(1+$B72)^(-4.5)-$B$46+$B$47)/$B$5</f>
        <v>148.141584005336</v>
      </c>
    </row>
    <row r="73" customFormat="false" ht="15" hidden="false" customHeight="true" outlineLevel="0" collapsed="false">
      <c r="B73" s="39" t="n">
        <v>0.14</v>
      </c>
      <c r="C73" s="26" t="n">
        <f aca="false">(SUMPRODUCT($C$27:$G$27,(1+$B73)^(-$C$28:$G$28))+Model!$K$42*(1+C$69)*(1-C$69/$B$22)/($B73-C$69)*(1+$B73)^(-4.5)-$B$46+$B$47)/$B$5</f>
        <v>56.2438463201978</v>
      </c>
      <c r="D73" s="26" t="n">
        <f aca="false">(SUMPRODUCT($C$27:$G$27,(1+$B73)^(-$C$28:$G$28))+Model!$K$42*(1+D$69)*(1-D$69/$B$22)/($B73-D$69)*(1+$B73)^(-4.5)-$B$46+$B$47)/$B$5</f>
        <v>61.0143209697424</v>
      </c>
      <c r="E73" s="26" t="n">
        <f aca="false">(SUMPRODUCT($C$27:$G$27,(1+$B73)^(-$C$28:$G$28))+Model!$K$42*(1+E$69)*(1-E$69/$B$22)/($B73-E$69)*(1+$B73)^(-4.5)-$B$46+$B$47)/$B$5</f>
        <v>66.4512589894442</v>
      </c>
      <c r="F73" s="26" t="n">
        <f aca="false">(SUMPRODUCT($C$27:$G$27,(1+$B73)^(-$C$28:$G$28))+Model!$K$42*(1+F$69)*(1-F$69/$B$22)/($B73-F$69)*(1+$B73)^(-4.5)-$B$46+$B$47)/$B$5</f>
        <v>72.8402875379417</v>
      </c>
      <c r="G73" s="26" t="n">
        <f aca="false">(SUMPRODUCT($C$27:$G$27,(1+$B73)^(-$C$28:$G$28))+Model!$K$42*(1+G$69)*(1-G$69/$B$22)/($B73-G$69)*(1+$B73)^(-4.5)-$B$46+$B$47)/$B$5</f>
        <v>80.6574518796328</v>
      </c>
    </row>
    <row r="74" customFormat="false" ht="15" hidden="false" customHeight="true" outlineLevel="0" collapsed="false">
      <c r="B74" s="39" t="n">
        <v>0.15</v>
      </c>
      <c r="C74" s="26" t="n">
        <f aca="false">(SUMPRODUCT($C$27:$G$27,(1+$B74)^(-$C$28:$G$28))+Model!$K$42*(1+C$69)*(1-C$69/$B$22)/($B74-C$69)*(1+$B74)^(-4.5)-$B$46+$B$47)/$B$5</f>
        <v>24.3978268924553</v>
      </c>
      <c r="D74" s="26" t="n">
        <f aca="false">(SUMPRODUCT($C$27:$G$27,(1+$B74)^(-$C$28:$G$28))+Model!$K$42*(1+D$69)*(1-D$69/$B$22)/($B74-D$69)*(1+$B74)^(-4.5)-$B$46+$B$47)/$B$5</f>
        <v>26.4213374925567</v>
      </c>
      <c r="E74" s="26" t="n">
        <f aca="false">(SUMPRODUCT($C$27:$G$27,(1+$B74)^(-$C$28:$G$28))+Model!$K$42*(1+E$69)*(1-E$69/$B$22)/($B74-E$69)*(1+$B74)^(-4.5)-$B$46+$B$47)/$B$5</f>
        <v>28.4448480926583</v>
      </c>
      <c r="F74" s="26" t="n">
        <f aca="false">(SUMPRODUCT($C$27:$G$27,(1+$B74)^(-$C$28:$G$28))+Model!$K$42*(1+F$69)*(1-F$69/$B$22)/($B74-F$69)*(1+$B74)^(-4.5)-$B$46+$B$47)/$B$5</f>
        <v>30.4683586927598</v>
      </c>
      <c r="G74" s="26" t="n">
        <f aca="false">(SUMPRODUCT($C$27:$G$27,(1+$B74)^(-$C$28:$G$28))+Model!$K$42*(1+G$69)*(1-G$69/$B$22)/($B74-G$69)*(1+$B74)^(-4.5)-$B$46+$B$47)/$B$5</f>
        <v>32.4918692928614</v>
      </c>
    </row>
    <row r="76" customFormat="false" ht="15" hidden="false" customHeight="true" outlineLevel="0" collapsed="false">
      <c r="A76" s="19" t="s">
        <v>180</v>
      </c>
      <c r="B76" s="20"/>
      <c r="C76" s="20"/>
      <c r="D76" s="20"/>
      <c r="E76" s="20"/>
      <c r="F76" s="20"/>
      <c r="G76" s="20"/>
      <c r="H76" s="20"/>
    </row>
    <row r="77" customFormat="false" ht="15" hidden="false" customHeight="true" outlineLevel="0" collapsed="false">
      <c r="C77" s="39" t="n">
        <v>0.04</v>
      </c>
      <c r="D77" s="39" t="n">
        <v>0.05</v>
      </c>
      <c r="E77" s="39" t="n">
        <v>0.06</v>
      </c>
      <c r="F77" s="39" t="n">
        <v>0.07</v>
      </c>
      <c r="G77" s="39" t="n">
        <v>0.08</v>
      </c>
    </row>
    <row r="78" customFormat="false" ht="15" hidden="false" customHeight="true" outlineLevel="0" collapsed="false">
      <c r="B78" s="39" t="n">
        <v>0.1</v>
      </c>
      <c r="C78" s="26" t="n">
        <f aca="false">(SUM($C$30:$G$30)+Model!$K$42*(1+C$77)*(1-C$77/$B78)/($B$20-C$77)*$B$37-$B$46+$B$47)/$B$5</f>
        <v>46.4433790032341</v>
      </c>
      <c r="D78" s="26" t="n">
        <f aca="false">(SUM($C$30:$G$30)+Model!$K$42*(1+D$77)*(1-D$77/$B78)/($B$20-D$77)*$B$37-$B$46+$B$47)/$B$5</f>
        <v>34.3171904095704</v>
      </c>
      <c r="E78" s="26" t="n">
        <f aca="false">(SUM($C$30:$G$30)+Model!$K$42*(1+E$77)*(1-E$77/$B78)/($B$20-E$77)*$B$37-$B$46+$B$47)/$B$5</f>
        <v>17.7571708741966</v>
      </c>
      <c r="F78" s="26" t="n">
        <f aca="false">(SUM($C$30:$G$30)+Model!$K$42*(1+F$77)*(1-F$77/$B78)/($B$20-F$77)*$B$37-$B$46+$B$47)/$B$5</f>
        <v>-5.47065981855555</v>
      </c>
      <c r="G78" s="26" t="n">
        <f aca="false">(SUM($C$30:$G$30)+Model!$K$42*(1+G$77)*(1-G$77/$B78)/($B$20-G$77)*$B$37-$B$46+$B$47)/$B$5</f>
        <v>-39.4039997675319</v>
      </c>
    </row>
    <row r="79" customFormat="false" ht="15" hidden="false" customHeight="true" outlineLevel="0" collapsed="false">
      <c r="B79" s="39" t="n">
        <v>0.125</v>
      </c>
      <c r="C79" s="26" t="n">
        <f aca="false">(SUM($C$30:$G$30)+Model!$K$42*(1+C$77)*(1-C$77/$B79)/($B$20-C$77)*$B$37-$B$46+$B$47)/$B$5</f>
        <v>77.0189768854873</v>
      </c>
      <c r="D79" s="26" t="n">
        <f aca="false">(SUM($C$30:$G$30)+Model!$K$42*(1+D$77)*(1-D$77/$B79)/($B$20-D$77)*$B$37-$B$46+$B$47)/$B$5</f>
        <v>77.7553495142176</v>
      </c>
      <c r="E79" s="26" t="n">
        <f aca="false">(SUM($C$30:$G$30)+Model!$K$42*(1+E$77)*(1-E$77/$B79)/($B$20-E$77)*$B$37-$B$46+$B$47)/$B$5</f>
        <v>77.9464036705554</v>
      </c>
      <c r="F79" s="26" t="n">
        <f aca="false">(SUM($C$30:$G$30)+Model!$K$42*(1+F$77)*(1-F$77/$B79)/($B$20-F$77)*$B$37-$B$46+$B$47)/$B$5</f>
        <v>77.3173813191626</v>
      </c>
      <c r="G79" s="26" t="n">
        <f aca="false">(SUM($C$30:$G$30)+Model!$K$42*(1+G$77)*(1-G$77/$B79)/($B$20-G$77)*$B$37-$B$46+$B$47)/$B$5</f>
        <v>75.3716845093751</v>
      </c>
    </row>
    <row r="80" customFormat="false" ht="15" hidden="false" customHeight="true" outlineLevel="0" collapsed="false">
      <c r="B80" s="39" t="n">
        <v>0.15</v>
      </c>
      <c r="C80" s="26" t="n">
        <f aca="false">(SUM($C$30:$G$30)+Model!$K$42*(1+C$77)*(1-C$77/$B80)/($B$20-C$77)*$B$37-$B$46+$B$47)/$B$5</f>
        <v>97.4027088069896</v>
      </c>
      <c r="D80" s="26" t="n">
        <f aca="false">(SUM($C$30:$G$30)+Model!$K$42*(1+D$77)*(1-D$77/$B80)/($B$20-D$77)*$B$37-$B$46+$B$47)/$B$5</f>
        <v>106.714122250649</v>
      </c>
      <c r="E80" s="26" t="n">
        <f aca="false">(SUM($C$30:$G$30)+Model!$K$42*(1+E$77)*(1-E$77/$B80)/($B$20-E$77)*$B$37-$B$46+$B$47)/$B$5</f>
        <v>118.072558868128</v>
      </c>
      <c r="F80" s="26" t="n">
        <f aca="false">(SUM($C$30:$G$30)+Model!$K$42*(1+F$77)*(1-F$77/$B80)/($B$20-F$77)*$B$37-$B$46+$B$47)/$B$5</f>
        <v>132.509408744308</v>
      </c>
      <c r="G80" s="26" t="n">
        <f aca="false">(SUM($C$30:$G$30)+Model!$K$42*(1+G$77)*(1-G$77/$B80)/($B$20-G$77)*$B$37-$B$46+$B$47)/$B$5</f>
        <v>151.888807360647</v>
      </c>
    </row>
    <row r="81" customFormat="false" ht="15" hidden="false" customHeight="true" outlineLevel="0" collapsed="false">
      <c r="B81" s="39" t="n">
        <v>0.2</v>
      </c>
      <c r="C81" s="26" t="n">
        <f aca="false">(SUM($C$30:$G$30)+Model!$K$42*(1+C$77)*(1-C$77/$B81)/($B$20-C$77)*$B$37-$B$46+$B$47)/$B$5</f>
        <v>122.882373708867</v>
      </c>
      <c r="D81" s="26" t="n">
        <f aca="false">(SUM($C$30:$G$30)+Model!$K$42*(1+D$77)*(1-D$77/$B81)/($B$20-D$77)*$B$37-$B$46+$B$47)/$B$5</f>
        <v>142.912588171189</v>
      </c>
      <c r="E81" s="26" t="n">
        <f aca="false">(SUM($C$30:$G$30)+Model!$K$42*(1+E$77)*(1-E$77/$B81)/($B$20-E$77)*$B$37-$B$46+$B$47)/$B$5</f>
        <v>168.230252865093</v>
      </c>
      <c r="F81" s="26" t="n">
        <f aca="false">(SUM($C$30:$G$30)+Model!$K$42*(1+F$77)*(1-F$77/$B81)/($B$20-F$77)*$B$37-$B$46+$B$47)/$B$5</f>
        <v>201.49944302574</v>
      </c>
      <c r="G81" s="26" t="n">
        <f aca="false">(SUM($C$30:$G$30)+Model!$K$42*(1+G$77)*(1-G$77/$B81)/($B$20-G$77)*$B$37-$B$46+$B$47)/$B$5</f>
        <v>247.535210924736</v>
      </c>
    </row>
    <row r="82" customFormat="false" ht="15" hidden="false" customHeight="true" outlineLevel="0" collapsed="false">
      <c r="B82" s="39" t="n">
        <v>0.25</v>
      </c>
      <c r="C82" s="26" t="n">
        <f aca="false">(SUM($C$30:$G$30)+Model!$K$42*(1+C$77)*(1-C$77/$B82)/($B$20-C$77)*$B$37-$B$46+$B$47)/$B$5</f>
        <v>138.170172649994</v>
      </c>
      <c r="D82" s="26" t="n">
        <f aca="false">(SUM($C$30:$G$30)+Model!$K$42*(1+D$77)*(1-D$77/$B82)/($B$20-D$77)*$B$37-$B$46+$B$47)/$B$5</f>
        <v>164.631667723512</v>
      </c>
      <c r="E82" s="26" t="n">
        <f aca="false">(SUM($C$30:$G$30)+Model!$K$42*(1+E$77)*(1-E$77/$B82)/($B$20-E$77)*$B$37-$B$46+$B$47)/$B$5</f>
        <v>198.324869263273</v>
      </c>
      <c r="F82" s="26" t="n">
        <f aca="false">(SUM($C$30:$G$30)+Model!$K$42*(1+F$77)*(1-F$77/$B82)/($B$20-F$77)*$B$37-$B$46+$B$47)/$B$5</f>
        <v>242.893463594599</v>
      </c>
      <c r="G82" s="26" t="n">
        <f aca="false">(SUM($C$30:$G$30)+Model!$K$42*(1+G$77)*(1-G$77/$B82)/($B$20-G$77)*$B$37-$B$46+$B$47)/$B$5</f>
        <v>304.923053063189</v>
      </c>
    </row>
    <row r="84" customFormat="false" ht="15" hidden="false" customHeight="true" outlineLevel="0" collapsed="false">
      <c r="A84" s="3" t="s">
        <v>181</v>
      </c>
    </row>
    <row r="86" customFormat="false" ht="15" hidden="false" customHeight="true" outlineLevel="0" collapsed="false">
      <c r="A86" s="19" t="s">
        <v>182</v>
      </c>
      <c r="B86" s="20"/>
      <c r="C86" s="20"/>
      <c r="D86" s="20"/>
      <c r="E86" s="20"/>
      <c r="F86" s="20"/>
      <c r="G86" s="20"/>
      <c r="H86" s="20"/>
    </row>
    <row r="88" customFormat="false" ht="15" hidden="false" customHeight="true" outlineLevel="0" collapsed="false">
      <c r="A88" s="4" t="s">
        <v>183</v>
      </c>
      <c r="C88" s="40" t="n">
        <v>6</v>
      </c>
      <c r="D88" s="40" t="n">
        <v>10</v>
      </c>
      <c r="E88" s="10" t="n">
        <f aca="false">B56</f>
        <v>14.297397260274</v>
      </c>
      <c r="F88" s="23" t="s">
        <v>184</v>
      </c>
    </row>
    <row r="89" customFormat="false" ht="15" hidden="false" customHeight="true" outlineLevel="0" collapsed="false">
      <c r="A89" s="11" t="s">
        <v>185</v>
      </c>
      <c r="B89" s="41" t="n">
        <v>46295</v>
      </c>
      <c r="C89" s="26" t="n">
        <f aca="false">-$B$55</f>
        <v>-4174.84</v>
      </c>
      <c r="D89" s="26" t="n">
        <f aca="false">-$B$55</f>
        <v>-4174.84</v>
      </c>
      <c r="E89" s="26" t="n">
        <f aca="false">-$B$55</f>
        <v>-4174.84</v>
      </c>
    </row>
    <row r="90" customFormat="false" ht="15" hidden="false" customHeight="true" outlineLevel="0" collapsed="false">
      <c r="A90" s="11" t="s">
        <v>186</v>
      </c>
      <c r="B90" s="41" t="n">
        <v>46387</v>
      </c>
      <c r="C90" s="26" t="n">
        <f aca="false">$C$27</f>
        <v>12.732593175</v>
      </c>
      <c r="D90" s="26" t="n">
        <f aca="false">$C$27</f>
        <v>12.732593175</v>
      </c>
      <c r="E90" s="26" t="n">
        <f aca="false">$C$27</f>
        <v>12.732593175</v>
      </c>
    </row>
    <row r="91" customFormat="false" ht="15" hidden="false" customHeight="true" outlineLevel="0" collapsed="false">
      <c r="A91" s="11" t="s">
        <v>187</v>
      </c>
      <c r="B91" s="41" t="n">
        <v>46660</v>
      </c>
      <c r="C91" s="26" t="n">
        <f aca="false">$D$27</f>
        <v>67.849465641</v>
      </c>
      <c r="D91" s="26" t="n">
        <f aca="false">$D$27</f>
        <v>67.849465641</v>
      </c>
      <c r="E91" s="26" t="n">
        <f aca="false">$D$27</f>
        <v>67.849465641</v>
      </c>
    </row>
    <row r="92" customFormat="false" ht="15" hidden="false" customHeight="true" outlineLevel="0" collapsed="false">
      <c r="A92" s="11" t="s">
        <v>188</v>
      </c>
      <c r="B92" s="41" t="n">
        <v>47026</v>
      </c>
      <c r="C92" s="26" t="n">
        <f aca="false">$E$27</f>
        <v>117.63690910416</v>
      </c>
      <c r="D92" s="26" t="n">
        <f aca="false">$E$27</f>
        <v>117.63690910416</v>
      </c>
      <c r="E92" s="26" t="n">
        <f aca="false">$E$27</f>
        <v>117.63690910416</v>
      </c>
    </row>
    <row r="93" customFormat="false" ht="15" hidden="false" customHeight="true" outlineLevel="0" collapsed="false">
      <c r="A93" s="11" t="s">
        <v>189</v>
      </c>
      <c r="B93" s="41" t="n">
        <v>47391</v>
      </c>
      <c r="C93" s="26" t="n">
        <f aca="false">$F$27</f>
        <v>126.08606413872</v>
      </c>
      <c r="D93" s="26" t="n">
        <f aca="false">$F$27</f>
        <v>126.08606413872</v>
      </c>
      <c r="E93" s="26" t="n">
        <f aca="false">$F$27</f>
        <v>126.08606413872</v>
      </c>
    </row>
    <row r="94" customFormat="false" ht="15" hidden="false" customHeight="true" outlineLevel="0" collapsed="false">
      <c r="A94" s="11" t="s">
        <v>190</v>
      </c>
      <c r="B94" s="41" t="n">
        <v>47756</v>
      </c>
      <c r="C94" s="26" t="n">
        <f aca="false">$G$27</f>
        <v>148.845969726522</v>
      </c>
      <c r="D94" s="26" t="n">
        <f aca="false">$G$27</f>
        <v>148.845969726522</v>
      </c>
      <c r="E94" s="26" t="n">
        <f aca="false">$G$27</f>
        <v>148.845969726522</v>
      </c>
    </row>
    <row r="95" customFormat="false" ht="15" hidden="false" customHeight="true" outlineLevel="0" collapsed="false">
      <c r="A95" s="11" t="s">
        <v>191</v>
      </c>
      <c r="B95" s="41" t="n">
        <v>47938</v>
      </c>
      <c r="C95" s="26" t="n">
        <f aca="false">C$88*Model!$K$13</f>
        <v>3275.087319504</v>
      </c>
      <c r="D95" s="26" t="n">
        <f aca="false">D$88*Model!$K$13</f>
        <v>5458.47886584</v>
      </c>
      <c r="E95" s="26" t="n">
        <f aca="false">E$88*Model!$K$13</f>
        <v>7804.20407817242</v>
      </c>
    </row>
    <row r="96" customFormat="false" ht="15" hidden="false" customHeight="true" outlineLevel="0" collapsed="false">
      <c r="A96" s="4" t="s">
        <v>192</v>
      </c>
      <c r="C96" s="16" t="n">
        <f aca="false">XIRR(C89:C95,$B$89:$B$95)</f>
        <v>-0.0248629349456242</v>
      </c>
      <c r="D96" s="16" t="n">
        <f aca="false">XIRR(D89:D95,$B$89:$B$95)</f>
        <v>0.0842179229512247</v>
      </c>
      <c r="E96" s="16" t="n">
        <f aca="false">XIRR(E89:E95,$B$89:$B$95)</f>
        <v>0.169279596905338</v>
      </c>
    </row>
    <row r="97" customFormat="false" ht="15" hidden="false" customHeight="true" outlineLevel="0" collapsed="false">
      <c r="A97" s="3" t="s">
        <v>193</v>
      </c>
    </row>
    <row r="99" customFormat="false" ht="15" hidden="false" customHeight="true" outlineLevel="0" collapsed="false">
      <c r="A99" s="19" t="s">
        <v>194</v>
      </c>
      <c r="B99" s="20"/>
      <c r="C99" s="20"/>
      <c r="D99" s="20"/>
      <c r="E99" s="20"/>
      <c r="F99" s="20"/>
      <c r="G99" s="20"/>
      <c r="H99" s="20"/>
    </row>
    <row r="100" customFormat="false" ht="15" hidden="false" customHeight="true" outlineLevel="0" collapsed="false">
      <c r="A100" s="11" t="s">
        <v>195</v>
      </c>
      <c r="B100" s="24" t="n">
        <f aca="false">AVERAGE(Model!H50:K50)</f>
        <v>0.129795104554455</v>
      </c>
    </row>
    <row r="101" customFormat="false" ht="15" hidden="false" customHeight="true" outlineLevel="0" collapsed="false">
      <c r="A101" s="11" t="s">
        <v>196</v>
      </c>
      <c r="B101" s="28" t="n">
        <f aca="false">(B100-B21)/(B15-B21)</f>
        <v>0.724288022281311</v>
      </c>
    </row>
    <row r="102" customFormat="false" ht="15" hidden="false" customHeight="true" outlineLevel="0" collapsed="false">
      <c r="A102" s="11" t="s">
        <v>197</v>
      </c>
      <c r="B102" s="26" t="n">
        <f aca="false">B101*Model!G55</f>
        <v>167.002070030375</v>
      </c>
    </row>
    <row r="103" customFormat="false" ht="15" hidden="false" customHeight="true" outlineLevel="0" collapsed="false">
      <c r="A103" s="11" t="s">
        <v>198</v>
      </c>
      <c r="B103" s="24" t="n">
        <f aca="false">B102/B49-1</f>
        <v>0.41440205608566</v>
      </c>
    </row>
    <row r="105" customFormat="false" ht="15" hidden="false" customHeight="true" outlineLevel="0" collapsed="false">
      <c r="A105" s="19" t="s">
        <v>199</v>
      </c>
      <c r="B105" s="20"/>
      <c r="C105" s="20"/>
      <c r="D105" s="20"/>
      <c r="E105" s="20"/>
      <c r="F105" s="20"/>
      <c r="G105" s="20"/>
      <c r="H105" s="20"/>
    </row>
    <row r="106" customFormat="false" ht="32.25" hidden="false" customHeight="true" outlineLevel="0" collapsed="false">
      <c r="A106" s="18" t="s">
        <v>200</v>
      </c>
      <c r="B106" s="18" t="s">
        <v>201</v>
      </c>
      <c r="C106" s="18" t="s">
        <v>202</v>
      </c>
      <c r="D106" s="18" t="s">
        <v>203</v>
      </c>
      <c r="E106" s="18" t="s">
        <v>204</v>
      </c>
      <c r="F106" s="18" t="s">
        <v>205</v>
      </c>
      <c r="G106" s="18" t="s">
        <v>206</v>
      </c>
    </row>
    <row r="107" customFormat="false" ht="15" hidden="false" customHeight="false" outlineLevel="0" collapsed="false">
      <c r="A107" s="42" t="s">
        <v>31</v>
      </c>
      <c r="B107" s="43" t="n">
        <v>0.25</v>
      </c>
      <c r="C107" s="44" t="n">
        <v>2227.5257004</v>
      </c>
      <c r="D107" s="45" t="n">
        <v>0.175</v>
      </c>
      <c r="E107" s="45" t="n">
        <v>0.0708141568911276</v>
      </c>
      <c r="F107" s="44" t="n">
        <v>4.43602417397238</v>
      </c>
      <c r="G107" s="46" t="n">
        <v>-0.992751594486973</v>
      </c>
    </row>
    <row r="108" customFormat="false" ht="15" hidden="false" customHeight="false" outlineLevel="0" collapsed="false">
      <c r="A108" s="42" t="s">
        <v>32</v>
      </c>
      <c r="B108" s="43" t="n">
        <v>0.5</v>
      </c>
      <c r="C108" s="44" t="n">
        <v>2799.2199312</v>
      </c>
      <c r="D108" s="45" t="n">
        <v>0.195</v>
      </c>
      <c r="E108" s="45" t="n">
        <v>0.0996415981005619</v>
      </c>
      <c r="F108" s="44" t="n">
        <v>118.072558868128</v>
      </c>
      <c r="G108" s="46" t="n">
        <v>-0.807070982241621</v>
      </c>
    </row>
    <row r="109" customFormat="false" ht="15" hidden="false" customHeight="false" outlineLevel="0" collapsed="false">
      <c r="A109" s="42" t="s">
        <v>33</v>
      </c>
      <c r="B109" s="43" t="n">
        <v>0.25</v>
      </c>
      <c r="C109" s="44" t="n">
        <v>3194.91493776</v>
      </c>
      <c r="D109" s="45" t="n">
        <v>0.215</v>
      </c>
      <c r="E109" s="45" t="n">
        <v>0.128099929917353</v>
      </c>
      <c r="F109" s="44" t="n">
        <v>240.375875287612</v>
      </c>
      <c r="G109" s="46" t="n">
        <v>-0.607228961948346</v>
      </c>
    </row>
    <row r="110" customFormat="false" ht="15" hidden="false" customHeight="false" outlineLevel="0" collapsed="false">
      <c r="A110" s="47" t="s">
        <v>207</v>
      </c>
      <c r="F110" s="48" t="n">
        <f aca="false">SUMPRODUCT(B107:B109,F107:F109)</f>
        <v>120.23925429946</v>
      </c>
      <c r="G110" s="49" t="n">
        <f aca="false">F110/B4-1</f>
        <v>-0.80353063022964</v>
      </c>
    </row>
  </sheetData>
  <conditionalFormatting sqref="C70:G74">
    <cfRule type="cellIs" priority="2" operator="greaterThanOrEqual" aboveAverage="0" equalAverage="0" bottom="0" percent="0" rank="0" text="" dxfId="0">
      <formula>$B$4</formula>
    </cfRule>
  </conditionalFormatting>
  <conditionalFormatting sqref="C78:G82">
    <cfRule type="cellIs" priority="3" operator="greaterThanOrEqual" aboveAverage="0" equalAverage="0" bottom="0" percent="0" rank="0" text="" dxfId="0">
      <formula>$B$4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16" min="2" style="1" width="8"/>
  </cols>
  <sheetData>
    <row r="1" customFormat="false" ht="15.75" hidden="false" customHeight="true" outlineLevel="0" collapsed="false">
      <c r="A1" s="12" t="s">
        <v>208</v>
      </c>
    </row>
    <row r="3" customFormat="false" ht="15" hidden="false" customHeight="true" outlineLevel="0" collapsed="false">
      <c r="A3" s="17" t="s">
        <v>209</v>
      </c>
      <c r="B3" s="18" t="s">
        <v>210</v>
      </c>
      <c r="C3" s="18" t="s">
        <v>211</v>
      </c>
      <c r="D3" s="18" t="s">
        <v>212</v>
      </c>
      <c r="E3" s="18" t="s">
        <v>213</v>
      </c>
      <c r="F3" s="18" t="s">
        <v>214</v>
      </c>
      <c r="G3" s="18" t="s">
        <v>215</v>
      </c>
      <c r="H3" s="18" t="s">
        <v>216</v>
      </c>
      <c r="I3" s="18" t="s">
        <v>217</v>
      </c>
      <c r="J3" s="18" t="s">
        <v>218</v>
      </c>
      <c r="K3" s="18" t="s">
        <v>219</v>
      </c>
      <c r="L3" s="18" t="s">
        <v>220</v>
      </c>
      <c r="M3" s="18" t="s">
        <v>221</v>
      </c>
      <c r="N3" s="18" t="s">
        <v>222</v>
      </c>
      <c r="P3" s="18" t="s">
        <v>223</v>
      </c>
    </row>
    <row r="4" customFormat="false" ht="15" hidden="false" customHeight="true" outlineLevel="0" collapsed="false">
      <c r="A4" s="11" t="s">
        <v>224</v>
      </c>
      <c r="B4" s="21" t="n">
        <v>370</v>
      </c>
      <c r="C4" s="21" t="n">
        <v>397</v>
      </c>
      <c r="D4" s="21" t="n">
        <v>399</v>
      </c>
      <c r="E4" s="21" t="n">
        <v>398</v>
      </c>
      <c r="F4" s="21" t="n">
        <v>382</v>
      </c>
      <c r="G4" s="21" t="n">
        <v>398</v>
      </c>
      <c r="H4" s="21" t="n">
        <v>374</v>
      </c>
      <c r="I4" s="21" t="n">
        <v>371</v>
      </c>
      <c r="J4" s="21" t="n">
        <v>362</v>
      </c>
      <c r="K4" s="21" t="n">
        <v>385</v>
      </c>
      <c r="L4" s="21" t="n">
        <v>414</v>
      </c>
      <c r="M4" s="21" t="n">
        <v>430</v>
      </c>
      <c r="N4" s="21" t="n">
        <v>420</v>
      </c>
      <c r="P4" s="22" t="n">
        <f aca="false">SUM(K4:N4)</f>
        <v>1649</v>
      </c>
    </row>
    <row r="5" customFormat="false" ht="15" hidden="false" customHeight="true" outlineLevel="0" collapsed="false">
      <c r="A5" s="11" t="s">
        <v>225</v>
      </c>
      <c r="B5" s="21" t="n">
        <v>65</v>
      </c>
      <c r="C5" s="21" t="n">
        <v>75</v>
      </c>
      <c r="D5" s="21" t="n">
        <v>75</v>
      </c>
      <c r="E5" s="21" t="n">
        <v>78</v>
      </c>
      <c r="F5" s="21" t="n">
        <v>73</v>
      </c>
      <c r="G5" s="21" t="n">
        <v>77</v>
      </c>
      <c r="H5" s="21" t="n">
        <v>73</v>
      </c>
      <c r="I5" s="21" t="n">
        <v>73</v>
      </c>
      <c r="J5" s="21" t="n">
        <v>63</v>
      </c>
      <c r="K5" s="21" t="n">
        <v>67</v>
      </c>
      <c r="L5" s="21" t="n">
        <v>69</v>
      </c>
      <c r="M5" s="21" t="n">
        <v>81</v>
      </c>
      <c r="N5" s="21" t="n">
        <v>75</v>
      </c>
      <c r="P5" s="22" t="n">
        <f aca="false">SUM(K5:N5)</f>
        <v>292</v>
      </c>
    </row>
    <row r="6" customFormat="false" ht="15" hidden="false" customHeight="true" outlineLevel="0" collapsed="false">
      <c r="A6" s="11" t="s">
        <v>59</v>
      </c>
      <c r="B6" s="24" t="n">
        <f aca="false">B5/B4</f>
        <v>0.175675675675676</v>
      </c>
      <c r="C6" s="24" t="n">
        <f aca="false">C5/C4</f>
        <v>0.188916876574307</v>
      </c>
      <c r="D6" s="24" t="n">
        <f aca="false">D5/D4</f>
        <v>0.18796992481203</v>
      </c>
      <c r="E6" s="24" t="n">
        <f aca="false">E5/E4</f>
        <v>0.195979899497487</v>
      </c>
      <c r="F6" s="24" t="n">
        <f aca="false">F5/F4</f>
        <v>0.191099476439791</v>
      </c>
      <c r="G6" s="24" t="n">
        <f aca="false">G5/G4</f>
        <v>0.193467336683417</v>
      </c>
      <c r="H6" s="24" t="n">
        <f aca="false">H5/H4</f>
        <v>0.195187165775401</v>
      </c>
      <c r="I6" s="24" t="n">
        <f aca="false">I5/I4</f>
        <v>0.196765498652291</v>
      </c>
      <c r="J6" s="24" t="n">
        <f aca="false">J5/J4</f>
        <v>0.174033149171271</v>
      </c>
      <c r="K6" s="24" t="n">
        <f aca="false">K5/K4</f>
        <v>0.174025974025974</v>
      </c>
      <c r="L6" s="24" t="n">
        <f aca="false">L5/L4</f>
        <v>0.166666666666667</v>
      </c>
      <c r="M6" s="24" t="n">
        <f aca="false">M5/M4</f>
        <v>0.188372093023256</v>
      </c>
      <c r="N6" s="24" t="n">
        <f aca="false">N5/N4</f>
        <v>0.178571428571429</v>
      </c>
      <c r="P6" s="24" t="n">
        <f aca="false">P5/P4</f>
        <v>0.17707701637356</v>
      </c>
    </row>
    <row r="7" customFormat="false" ht="15" hidden="false" customHeight="true" outlineLevel="0" collapsed="false">
      <c r="A7" s="11" t="s">
        <v>226</v>
      </c>
      <c r="F7" s="24" t="n">
        <f aca="false">F4/B4-1</f>
        <v>0.0324324324324323</v>
      </c>
      <c r="G7" s="24" t="n">
        <f aca="false">G4/C4-1</f>
        <v>0.00251889168765751</v>
      </c>
      <c r="H7" s="24" t="n">
        <f aca="false">H4/D4-1</f>
        <v>-0.0626566416040101</v>
      </c>
      <c r="I7" s="24" t="n">
        <f aca="false">I4/E4-1</f>
        <v>-0.0678391959798995</v>
      </c>
      <c r="J7" s="24" t="n">
        <f aca="false">J4/F4-1</f>
        <v>-0.0523560209424084</v>
      </c>
      <c r="K7" s="24" t="n">
        <f aca="false">K4/G4-1</f>
        <v>-0.0326633165829146</v>
      </c>
      <c r="L7" s="24" t="n">
        <f aca="false">L4/H4-1</f>
        <v>0.106951871657754</v>
      </c>
      <c r="M7" s="24" t="n">
        <f aca="false">M4/I4-1</f>
        <v>0.159029649595687</v>
      </c>
      <c r="N7" s="24" t="n">
        <f aca="false">N4/J4-1</f>
        <v>0.160220994475138</v>
      </c>
    </row>
    <row r="8" customFormat="false" ht="15" hidden="false" customHeight="true" outlineLevel="0" collapsed="false">
      <c r="A8" s="11" t="s">
        <v>227</v>
      </c>
      <c r="F8" s="24" t="n">
        <f aca="false">F5/B5-1</f>
        <v>0.123076923076923</v>
      </c>
      <c r="G8" s="24" t="n">
        <f aca="false">G5/C5-1</f>
        <v>0.0266666666666666</v>
      </c>
      <c r="H8" s="24" t="n">
        <f aca="false">H5/D5-1</f>
        <v>-0.0266666666666666</v>
      </c>
      <c r="I8" s="24" t="n">
        <f aca="false">I5/E5-1</f>
        <v>-0.0641025641025641</v>
      </c>
      <c r="J8" s="24" t="n">
        <f aca="false">J5/F5-1</f>
        <v>-0.136986301369863</v>
      </c>
      <c r="K8" s="24" t="n">
        <f aca="false">K5/G5-1</f>
        <v>-0.12987012987013</v>
      </c>
      <c r="L8" s="24" t="n">
        <f aca="false">L5/H5-1</f>
        <v>-0.0547945205479452</v>
      </c>
      <c r="M8" s="24" t="n">
        <f aca="false">M5/I5-1</f>
        <v>0.10958904109589</v>
      </c>
      <c r="N8" s="24" t="n">
        <f aca="false">N5/J5-1</f>
        <v>0.19047619047619</v>
      </c>
    </row>
    <row r="10" customFormat="false" ht="15" hidden="false" customHeight="true" outlineLevel="0" collapsed="false">
      <c r="A10" s="4" t="s">
        <v>228</v>
      </c>
    </row>
    <row r="11" customFormat="false" ht="15" hidden="false" customHeight="true" outlineLevel="0" collapsed="false">
      <c r="A11" s="11" t="s">
        <v>229</v>
      </c>
      <c r="B11" s="33" t="n">
        <f aca="false">Model!G11</f>
        <v>1828.5</v>
      </c>
    </row>
    <row r="12" customFormat="false" ht="15" hidden="false" customHeight="true" outlineLevel="0" collapsed="false">
      <c r="A12" s="11" t="s">
        <v>230</v>
      </c>
      <c r="B12" s="26" t="n">
        <f aca="false">B11-N4</f>
        <v>1408.5</v>
      </c>
    </row>
    <row r="13" customFormat="false" ht="15" hidden="false" customHeight="true" outlineLevel="0" collapsed="false">
      <c r="A13" s="11" t="s">
        <v>231</v>
      </c>
      <c r="B13" s="26" t="n">
        <f aca="false">B12/3</f>
        <v>469.5</v>
      </c>
    </row>
    <row r="14" customFormat="false" ht="15" hidden="false" customHeight="true" outlineLevel="0" collapsed="false">
      <c r="A14" s="11" t="s">
        <v>232</v>
      </c>
      <c r="B14" s="24" t="n">
        <f aca="false">B13/N4-1</f>
        <v>0.117857142857143</v>
      </c>
    </row>
    <row r="16" customFormat="false" ht="15" hidden="false" customHeight="true" outlineLevel="0" collapsed="false">
      <c r="A16" s="3" t="s">
        <v>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8" min="2" style="1" width="11"/>
  </cols>
  <sheetData>
    <row r="1" customFormat="false" ht="15.75" hidden="false" customHeight="true" outlineLevel="0" collapsed="false">
      <c r="A1" s="12" t="s">
        <v>234</v>
      </c>
    </row>
    <row r="2" customFormat="false" ht="15" hidden="false" customHeight="true" outlineLevel="0" collapsed="false">
      <c r="A2" s="3" t="s">
        <v>235</v>
      </c>
    </row>
    <row r="4" customFormat="false" ht="15" hidden="false" customHeight="true" outlineLevel="0" collapsed="false">
      <c r="A4" s="11" t="s">
        <v>236</v>
      </c>
      <c r="B4" s="50" t="n">
        <f aca="false">DCF!B12</f>
        <v>0.2517</v>
      </c>
    </row>
    <row r="5" customFormat="false" ht="15" hidden="false" customHeight="true" outlineLevel="0" collapsed="false">
      <c r="A5" s="11" t="s">
        <v>237</v>
      </c>
      <c r="B5" s="33" t="n">
        <f aca="false">Model!F11</f>
        <v>1590</v>
      </c>
    </row>
    <row r="6" customFormat="false" ht="15" hidden="false" customHeight="true" outlineLevel="0" collapsed="false">
      <c r="A6" s="11" t="s">
        <v>238</v>
      </c>
      <c r="B6" s="33" t="n">
        <f aca="false">Model!F32</f>
        <v>765</v>
      </c>
    </row>
    <row r="7" customFormat="false" ht="15" hidden="false" customHeight="true" outlineLevel="0" collapsed="false">
      <c r="A7" s="11" t="s">
        <v>239</v>
      </c>
      <c r="C7" s="51" t="n">
        <v>1</v>
      </c>
      <c r="D7" s="51" t="n">
        <v>2</v>
      </c>
      <c r="E7" s="51" t="n">
        <v>3</v>
      </c>
      <c r="F7" s="51" t="n">
        <v>4</v>
      </c>
      <c r="G7" s="51" t="n">
        <v>5</v>
      </c>
    </row>
    <row r="8" customFormat="false" ht="15" hidden="false" customHeight="true" outlineLevel="0" collapsed="false">
      <c r="A8" s="11" t="s">
        <v>240</v>
      </c>
      <c r="C8" s="52" t="n">
        <f aca="false">DCF!C26</f>
        <v>0.5</v>
      </c>
      <c r="D8" s="52" t="n">
        <f aca="false">DCF!D26</f>
        <v>1</v>
      </c>
      <c r="E8" s="52" t="n">
        <f aca="false">DCF!E26</f>
        <v>1</v>
      </c>
      <c r="F8" s="52" t="n">
        <f aca="false">DCF!F26</f>
        <v>1</v>
      </c>
      <c r="G8" s="52" t="n">
        <f aca="false">DCF!G26</f>
        <v>1</v>
      </c>
    </row>
    <row r="9" customFormat="false" ht="15" hidden="false" customHeight="true" outlineLevel="0" collapsed="false">
      <c r="A9" s="11" t="s">
        <v>241</v>
      </c>
      <c r="C9" s="53" t="n">
        <f aca="false">Model!G17</f>
        <v>0.068</v>
      </c>
      <c r="D9" s="53" t="n">
        <f aca="false">Model!H17</f>
        <v>0.067</v>
      </c>
      <c r="E9" s="53" t="n">
        <f aca="false">Model!I17</f>
        <v>0.066</v>
      </c>
      <c r="F9" s="53" t="n">
        <f aca="false">Model!J17</f>
        <v>0.065</v>
      </c>
      <c r="G9" s="53" t="n">
        <f aca="false">Model!K17</f>
        <v>0.064</v>
      </c>
    </row>
    <row r="10" customFormat="false" ht="15" hidden="false" customHeight="true" outlineLevel="0" collapsed="false">
      <c r="A10" s="11" t="s">
        <v>242</v>
      </c>
      <c r="C10" s="53" t="n">
        <f aca="false">Model!G31</f>
        <v>0.1</v>
      </c>
      <c r="D10" s="53" t="n">
        <f aca="false">Model!H31</f>
        <v>0.09</v>
      </c>
      <c r="E10" s="53" t="n">
        <f aca="false">Model!I31</f>
        <v>0.085</v>
      </c>
      <c r="F10" s="53" t="n">
        <f aca="false">Model!J31</f>
        <v>0.085</v>
      </c>
      <c r="G10" s="53" t="n">
        <f aca="false">Model!K31</f>
        <v>0.085</v>
      </c>
    </row>
    <row r="11" customFormat="false" ht="15" hidden="false" customHeight="true" outlineLevel="0" collapsed="false">
      <c r="A11" s="11" t="s">
        <v>243</v>
      </c>
      <c r="C11" s="53" t="n">
        <f aca="false">Model!G33+Model!$E$7</f>
        <v>0.46</v>
      </c>
      <c r="D11" s="53" t="n">
        <f aca="false">Model!H33+Model!$E$7</f>
        <v>0.44</v>
      </c>
      <c r="E11" s="53" t="n">
        <f aca="false">Model!I33+Model!$E$7</f>
        <v>0.42</v>
      </c>
      <c r="F11" s="53" t="n">
        <f aca="false">Model!J33+Model!$E$7</f>
        <v>0.41</v>
      </c>
      <c r="G11" s="53" t="n">
        <f aca="false">Model!K33+Model!$E$7</f>
        <v>0.4</v>
      </c>
    </row>
    <row r="12" customFormat="false" ht="15" hidden="false" customHeight="true" outlineLevel="0" collapsed="false">
      <c r="A12" s="11" t="s">
        <v>244</v>
      </c>
      <c r="C12" s="24" t="n">
        <f aca="false">$B$6/$B$5</f>
        <v>0.481132075471698</v>
      </c>
      <c r="D12" s="24" t="n">
        <f aca="false">C11</f>
        <v>0.46</v>
      </c>
      <c r="E12" s="24" t="n">
        <f aca="false">D11</f>
        <v>0.44</v>
      </c>
      <c r="F12" s="24" t="n">
        <f aca="false">E11</f>
        <v>0.42</v>
      </c>
      <c r="G12" s="24" t="n">
        <f aca="false">F11</f>
        <v>0.41</v>
      </c>
    </row>
    <row r="13" customFormat="false" ht="15" hidden="false" customHeight="true" outlineLevel="0" collapsed="false">
      <c r="A13" s="11" t="s">
        <v>245</v>
      </c>
      <c r="C13" s="52" t="n">
        <f aca="false">DCF!C28</f>
        <v>0.25</v>
      </c>
      <c r="D13" s="52" t="n">
        <f aca="false">DCF!D28</f>
        <v>1</v>
      </c>
      <c r="E13" s="52" t="n">
        <f aca="false">DCF!E28</f>
        <v>2</v>
      </c>
      <c r="F13" s="52" t="n">
        <f aca="false">DCF!F28</f>
        <v>3</v>
      </c>
      <c r="G13" s="52" t="n">
        <f aca="false">DCF!G28</f>
        <v>4</v>
      </c>
    </row>
    <row r="14" customFormat="false" ht="15" hidden="false" customHeight="true" outlineLevel="0" collapsed="false">
      <c r="A14" s="11" t="s">
        <v>246</v>
      </c>
      <c r="B14" s="50" t="n">
        <f aca="false">DCF!B20</f>
        <v>0.129541676921937</v>
      </c>
    </row>
    <row r="15" customFormat="false" ht="15" hidden="false" customHeight="true" outlineLevel="0" collapsed="false">
      <c r="A15" s="11" t="s">
        <v>247</v>
      </c>
      <c r="B15" s="35" t="n">
        <v>0.11</v>
      </c>
    </row>
    <row r="16" customFormat="false" ht="15" hidden="false" customHeight="true" outlineLevel="0" collapsed="false">
      <c r="A16" s="11" t="s">
        <v>248</v>
      </c>
      <c r="B16" s="50" t="n">
        <f aca="false">DCF!B21</f>
        <v>0.06</v>
      </c>
    </row>
    <row r="17" customFormat="false" ht="15" hidden="false" customHeight="true" outlineLevel="0" collapsed="false">
      <c r="A17" s="11" t="s">
        <v>249</v>
      </c>
      <c r="B17" s="50" t="n">
        <f aca="false">DCF!B22</f>
        <v>0.15</v>
      </c>
    </row>
    <row r="18" customFormat="false" ht="15" hidden="false" customHeight="true" outlineLevel="0" collapsed="false">
      <c r="A18" s="11" t="s">
        <v>90</v>
      </c>
      <c r="B18" s="52" t="n">
        <f aca="false">DCF!B46</f>
        <v>1235</v>
      </c>
    </row>
    <row r="19" customFormat="false" ht="15" hidden="false" customHeight="true" outlineLevel="0" collapsed="false">
      <c r="A19" s="11" t="s">
        <v>89</v>
      </c>
      <c r="B19" s="52" t="n">
        <f aca="false">DCF!B47</f>
        <v>10</v>
      </c>
    </row>
    <row r="20" customFormat="false" ht="15" hidden="false" customHeight="true" outlineLevel="0" collapsed="false">
      <c r="A20" s="11" t="s">
        <v>250</v>
      </c>
      <c r="B20" s="52" t="n">
        <f aca="false">DCF!B5</f>
        <v>4.82</v>
      </c>
    </row>
    <row r="21" customFormat="false" ht="15" hidden="false" customHeight="true" outlineLevel="0" collapsed="false">
      <c r="A21" s="11" t="s">
        <v>2</v>
      </c>
      <c r="B21" s="52" t="n">
        <f aca="false">DCF!B4</f>
        <v>612</v>
      </c>
    </row>
    <row r="23" customFormat="false" ht="15" hidden="false" customHeight="true" outlineLevel="0" collapsed="false">
      <c r="A23" s="19" t="s">
        <v>251</v>
      </c>
      <c r="B23" s="20"/>
      <c r="C23" s="20"/>
      <c r="D23" s="20"/>
      <c r="E23" s="20"/>
      <c r="F23" s="20"/>
      <c r="G23" s="20"/>
      <c r="H23" s="20"/>
      <c r="I23" s="20"/>
    </row>
    <row r="24" customFormat="false" ht="15" hidden="false" customHeight="true" outlineLevel="0" collapsed="false">
      <c r="B24" s="4" t="s">
        <v>252</v>
      </c>
      <c r="C24" s="39" t="n">
        <v>0.16</v>
      </c>
      <c r="D24" s="39" t="n">
        <v>0.18</v>
      </c>
      <c r="E24" s="39" t="n">
        <v>0.2</v>
      </c>
      <c r="F24" s="39" t="n">
        <v>0.22</v>
      </c>
      <c r="G24" s="39" t="n">
        <v>0.24</v>
      </c>
      <c r="H24" s="39" t="n">
        <v>0.26</v>
      </c>
    </row>
    <row r="25" customFormat="false" ht="15" hidden="false" customHeight="true" outlineLevel="0" collapsed="false">
      <c r="B25" s="39" t="n">
        <v>0.06</v>
      </c>
      <c r="C25" s="26" t="n">
        <f aca="false">(SUMPRODUCT($C$8:$G$8,1/(1+$B$14)^$C$13:$G$13,$B$5*(1+$B25)^$C$7:$G$7*((C$24-$C$9:$G$9)*(1-$B$4)+$C$9:$G$9-$C$10:$G$10-$C$11:$G$11)+$B$5*(1+$B25)^($C$7:$G$7-1)*$C$12:$G$12)+$B$5*(1+$B25)^5*(C$24-$G$9)*(1-$B$4)*(1+$B$16)*(1-$B$16/$B$17)/($B$14-$B$16)/(1+$B$14)^4.5-$B$18+$B$19)/$B$20</f>
        <v>-32.7014246775873</v>
      </c>
      <c r="D25" s="26" t="n">
        <f aca="false">(SUMPRODUCT($C$8:$G$8,1/(1+$B$14)^$C$13:$G$13,$B$5*(1+$B25)^$C$7:$G$7*((D$24-$C$9:$G$9)*(1-$B$4)+$C$9:$G$9-$C$10:$G$10-$C$11:$G$11)+$B$5*(1+$B25)^($C$7:$G$7-1)*$C$12:$G$12)+$B$5*(1+$B25)^5*(D$24-$G$9)*(1-$B$4)*(1+$B$16)*(1-$B$16/$B$17)/($B$14-$B$16)/(1+$B$14)^4.5-$B$18+$B$19)/$B$20</f>
        <v>22.6647120770887</v>
      </c>
      <c r="E25" s="26" t="n">
        <f aca="false">(SUMPRODUCT($C$8:$G$8,1/(1+$B$14)^$C$13:$G$13,$B$5*(1+$B25)^$C$7:$G$7*((E$24-$C$9:$G$9)*(1-$B$4)+$C$9:$G$9-$C$10:$G$10-$C$11:$G$11)+$B$5*(1+$B25)^($C$7:$G$7-1)*$C$12:$G$12)+$B$5*(1+$B25)^5*(E$24-$G$9)*(1-$B$4)*(1+$B$16)*(1-$B$16/$B$17)/($B$14-$B$16)/(1+$B$14)^4.5-$B$18+$B$19)/$B$20</f>
        <v>78.0308488317647</v>
      </c>
      <c r="F25" s="26" t="n">
        <f aca="false">(SUMPRODUCT($C$8:$G$8,1/(1+$B$14)^$C$13:$G$13,$B$5*(1+$B25)^$C$7:$G$7*((F$24-$C$9:$G$9)*(1-$B$4)+$C$9:$G$9-$C$10:$G$10-$C$11:$G$11)+$B$5*(1+$B25)^($C$7:$G$7-1)*$C$12:$G$12)+$B$5*(1+$B25)^5*(F$24-$G$9)*(1-$B$4)*(1+$B$16)*(1-$B$16/$B$17)/($B$14-$B$16)/(1+$B$14)^4.5-$B$18+$B$19)/$B$20</f>
        <v>133.396985586441</v>
      </c>
      <c r="G25" s="26" t="n">
        <f aca="false">(SUMPRODUCT($C$8:$G$8,1/(1+$B$14)^$C$13:$G$13,$B$5*(1+$B25)^$C$7:$G$7*((G$24-$C$9:$G$9)*(1-$B$4)+$C$9:$G$9-$C$10:$G$10-$C$11:$G$11)+$B$5*(1+$B25)^($C$7:$G$7-1)*$C$12:$G$12)+$B$5*(1+$B25)^5*(G$24-$G$9)*(1-$B$4)*(1+$B$16)*(1-$B$16/$B$17)/($B$14-$B$16)/(1+$B$14)^4.5-$B$18+$B$19)/$B$20</f>
        <v>188.763122341117</v>
      </c>
      <c r="H25" s="26" t="n">
        <f aca="false">(SUMPRODUCT($C$8:$G$8,1/(1+$B$14)^$C$13:$G$13,$B$5*(1+$B25)^$C$7:$G$7*((H$24-$C$9:$G$9)*(1-$B$4)+$C$9:$G$9-$C$10:$G$10-$C$11:$G$11)+$B$5*(1+$B25)^($C$7:$G$7-1)*$C$12:$G$12)+$B$5*(1+$B25)^5*(H$24-$G$9)*(1-$B$4)*(1+$B$16)*(1-$B$16/$B$17)/($B$14-$B$16)/(1+$B$14)^4.5-$B$18+$B$19)/$B$20</f>
        <v>244.129259095793</v>
      </c>
    </row>
    <row r="26" customFormat="false" ht="15" hidden="false" customHeight="true" outlineLevel="0" collapsed="false">
      <c r="B26" s="39" t="n">
        <v>0.08</v>
      </c>
      <c r="C26" s="26" t="n">
        <f aca="false">(SUMPRODUCT($C$8:$G$8,1/(1+$B$14)^$C$13:$G$13,$B$5*(1+$B26)^$C$7:$G$7*((C$24-$C$9:$G$9)*(1-$B$4)+$C$9:$G$9-$C$10:$G$10-$C$11:$G$11)+$B$5*(1+$B26)^($C$7:$G$7-1)*$C$12:$G$12)+$B$5*(1+$B26)^5*(C$24-$G$9)*(1-$B$4)*(1+$B$16)*(1-$B$16/$B$17)/($B$14-$B$16)/(1+$B$14)^4.5-$B$18+$B$19)/$B$20</f>
        <v>-24.1225537678476</v>
      </c>
      <c r="D26" s="26" t="n">
        <f aca="false">(SUMPRODUCT($C$8:$G$8,1/(1+$B$14)^$C$13:$G$13,$B$5*(1+$B26)^$C$7:$G$7*((D$24-$C$9:$G$9)*(1-$B$4)+$C$9:$G$9-$C$10:$G$10-$C$11:$G$11)+$B$5*(1+$B26)^($C$7:$G$7-1)*$C$12:$G$12)+$B$5*(1+$B26)^5*(D$24-$G$9)*(1-$B$4)*(1+$B$16)*(1-$B$16/$B$17)/($B$14-$B$16)/(1+$B$14)^4.5-$B$18+$B$19)/$B$20</f>
        <v>35.8992414409054</v>
      </c>
      <c r="E26" s="26" t="n">
        <f aca="false">(SUMPRODUCT($C$8:$G$8,1/(1+$B$14)^$C$13:$G$13,$B$5*(1+$B26)^$C$7:$G$7*((E$24-$C$9:$G$9)*(1-$B$4)+$C$9:$G$9-$C$10:$G$10-$C$11:$G$11)+$B$5*(1+$B26)^($C$7:$G$7-1)*$C$12:$G$12)+$B$5*(1+$B26)^5*(E$24-$G$9)*(1-$B$4)*(1+$B$16)*(1-$B$16/$B$17)/($B$14-$B$16)/(1+$B$14)^4.5-$B$18+$B$19)/$B$20</f>
        <v>95.9210366496585</v>
      </c>
      <c r="F26" s="26" t="n">
        <f aca="false">(SUMPRODUCT($C$8:$G$8,1/(1+$B$14)^$C$13:$G$13,$B$5*(1+$B26)^$C$7:$G$7*((F$24-$C$9:$G$9)*(1-$B$4)+$C$9:$G$9-$C$10:$G$10-$C$11:$G$11)+$B$5*(1+$B26)^($C$7:$G$7-1)*$C$12:$G$12)+$B$5*(1+$B26)^5*(F$24-$G$9)*(1-$B$4)*(1+$B$16)*(1-$B$16/$B$17)/($B$14-$B$16)/(1+$B$14)^4.5-$B$18+$B$19)/$B$20</f>
        <v>155.942831858411</v>
      </c>
      <c r="G26" s="26" t="n">
        <f aca="false">(SUMPRODUCT($C$8:$G$8,1/(1+$B$14)^$C$13:$G$13,$B$5*(1+$B26)^$C$7:$G$7*((G$24-$C$9:$G$9)*(1-$B$4)+$C$9:$G$9-$C$10:$G$10-$C$11:$G$11)+$B$5*(1+$B26)^($C$7:$G$7-1)*$C$12:$G$12)+$B$5*(1+$B26)^5*(G$24-$G$9)*(1-$B$4)*(1+$B$16)*(1-$B$16/$B$17)/($B$14-$B$16)/(1+$B$14)^4.5-$B$18+$B$19)/$B$20</f>
        <v>215.964627067164</v>
      </c>
      <c r="H26" s="26" t="n">
        <f aca="false">(SUMPRODUCT($C$8:$G$8,1/(1+$B$14)^$C$13:$G$13,$B$5*(1+$B26)^$C$7:$G$7*((H$24-$C$9:$G$9)*(1-$B$4)+$C$9:$G$9-$C$10:$G$10-$C$11:$G$11)+$B$5*(1+$B26)^($C$7:$G$7-1)*$C$12:$G$12)+$B$5*(1+$B26)^5*(H$24-$G$9)*(1-$B$4)*(1+$B$16)*(1-$B$16/$B$17)/($B$14-$B$16)/(1+$B$14)^4.5-$B$18+$B$19)/$B$20</f>
        <v>275.986422275918</v>
      </c>
    </row>
    <row r="27" customFormat="false" ht="15" hidden="false" customHeight="true" outlineLevel="0" collapsed="false">
      <c r="B27" s="39" t="n">
        <v>0.1</v>
      </c>
      <c r="C27" s="26" t="n">
        <f aca="false">(SUMPRODUCT($C$8:$G$8,1/(1+$B$14)^$C$13:$G$13,$B$5*(1+$B27)^$C$7:$G$7*((C$24-$C$9:$G$9)*(1-$B$4)+$C$9:$G$9-$C$10:$G$10-$C$11:$G$11)+$B$5*(1+$B27)^($C$7:$G$7-1)*$C$12:$G$12)+$B$5*(1+$B27)^5*(C$24-$G$9)*(1-$B$4)*(1+$B$16)*(1-$B$16/$B$17)/($B$14-$B$16)/(1+$B$14)^4.5-$B$18+$B$19)/$B$20</f>
        <v>-14.9877831818812</v>
      </c>
      <c r="D27" s="26" t="n">
        <f aca="false">(SUMPRODUCT($C$8:$G$8,1/(1+$B$14)^$C$13:$G$13,$B$5*(1+$B27)^$C$7:$G$7*((D$24-$C$9:$G$9)*(1-$B$4)+$C$9:$G$9-$C$10:$G$10-$C$11:$G$11)+$B$5*(1+$B27)^($C$7:$G$7-1)*$C$12:$G$12)+$B$5*(1+$B27)^5*(D$24-$G$9)*(1-$B$4)*(1+$B$16)*(1-$B$16/$B$17)/($B$14-$B$16)/(1+$B$14)^4.5-$B$18+$B$19)/$B$20</f>
        <v>50.0159994745602</v>
      </c>
      <c r="E27" s="26" t="n">
        <f aca="false">(SUMPRODUCT($C$8:$G$8,1/(1+$B$14)^$C$13:$G$13,$B$5*(1+$B27)^$C$7:$G$7*((E$24-$C$9:$G$9)*(1-$B$4)+$C$9:$G$9-$C$10:$G$10-$C$11:$G$11)+$B$5*(1+$B27)^($C$7:$G$7-1)*$C$12:$G$12)+$B$5*(1+$B27)^5*(E$24-$G$9)*(1-$B$4)*(1+$B$16)*(1-$B$16/$B$17)/($B$14-$B$16)/(1+$B$14)^4.5-$B$18+$B$19)/$B$20</f>
        <v>115.019782131002</v>
      </c>
      <c r="F27" s="26" t="n">
        <f aca="false">(SUMPRODUCT($C$8:$G$8,1/(1+$B$14)^$C$13:$G$13,$B$5*(1+$B27)^$C$7:$G$7*((F$24-$C$9:$G$9)*(1-$B$4)+$C$9:$G$9-$C$10:$G$10-$C$11:$G$11)+$B$5*(1+$B27)^($C$7:$G$7-1)*$C$12:$G$12)+$B$5*(1+$B27)^5*(F$24-$G$9)*(1-$B$4)*(1+$B$16)*(1-$B$16/$B$17)/($B$14-$B$16)/(1+$B$14)^4.5-$B$18+$B$19)/$B$20</f>
        <v>180.023564787443</v>
      </c>
      <c r="G27" s="26" t="n">
        <f aca="false">(SUMPRODUCT($C$8:$G$8,1/(1+$B$14)^$C$13:$G$13,$B$5*(1+$B27)^$C$7:$G$7*((G$24-$C$9:$G$9)*(1-$B$4)+$C$9:$G$9-$C$10:$G$10-$C$11:$G$11)+$B$5*(1+$B27)^($C$7:$G$7-1)*$C$12:$G$12)+$B$5*(1+$B27)^5*(G$24-$G$9)*(1-$B$4)*(1+$B$16)*(1-$B$16/$B$17)/($B$14-$B$16)/(1+$B$14)^4.5-$B$18+$B$19)/$B$20</f>
        <v>245.027347443885</v>
      </c>
      <c r="H27" s="26" t="n">
        <f aca="false">(SUMPRODUCT($C$8:$G$8,1/(1+$B$14)^$C$13:$G$13,$B$5*(1+$B27)^$C$7:$G$7*((H$24-$C$9:$G$9)*(1-$B$4)+$C$9:$G$9-$C$10:$G$10-$C$11:$G$11)+$B$5*(1+$B27)^($C$7:$G$7-1)*$C$12:$G$12)+$B$5*(1+$B27)^5*(H$24-$G$9)*(1-$B$4)*(1+$B$16)*(1-$B$16/$B$17)/($B$14-$B$16)/(1+$B$14)^4.5-$B$18+$B$19)/$B$20</f>
        <v>310.031130100326</v>
      </c>
    </row>
    <row r="28" customFormat="false" ht="15" hidden="false" customHeight="true" outlineLevel="0" collapsed="false">
      <c r="B28" s="39" t="n">
        <v>0.12</v>
      </c>
      <c r="C28" s="26" t="n">
        <f aca="false">(SUMPRODUCT($C$8:$G$8,1/(1+$B$14)^$C$13:$G$13,$B$5*(1+$B28)^$C$7:$G$7*((C$24-$C$9:$G$9)*(1-$B$4)+$C$9:$G$9-$C$10:$G$10-$C$11:$G$11)+$B$5*(1+$B28)^($C$7:$G$7-1)*$C$12:$G$12)+$B$5*(1+$B28)^5*(C$24-$G$9)*(1-$B$4)*(1+$B$16)*(1-$B$16/$B$17)/($B$14-$B$16)/(1+$B$14)^4.5-$B$18+$B$19)/$B$20</f>
        <v>-5.26578768648538</v>
      </c>
      <c r="D28" s="26" t="n">
        <f aca="false">(SUMPRODUCT($C$8:$G$8,1/(1+$B$14)^$C$13:$G$13,$B$5*(1+$B28)^$C$7:$G$7*((D$24-$C$9:$G$9)*(1-$B$4)+$C$9:$G$9-$C$10:$G$10-$C$11:$G$11)+$B$5*(1+$B28)^($C$7:$G$7-1)*$C$12:$G$12)+$B$5*(1+$B28)^5*(D$24-$G$9)*(1-$B$4)*(1+$B$16)*(1-$B$16/$B$17)/($B$14-$B$16)/(1+$B$14)^4.5-$B$18+$B$19)/$B$20</f>
        <v>65.0638284450243</v>
      </c>
      <c r="E28" s="26" t="n">
        <f aca="false">(SUMPRODUCT($C$8:$G$8,1/(1+$B$14)^$C$13:$G$13,$B$5*(1+$B28)^$C$7:$G$7*((E$24-$C$9:$G$9)*(1-$B$4)+$C$9:$G$9-$C$10:$G$10-$C$11:$G$11)+$B$5*(1+$B28)^($C$7:$G$7-1)*$C$12:$G$12)+$B$5*(1+$B28)^5*(E$24-$G$9)*(1-$B$4)*(1+$B$16)*(1-$B$16/$B$17)/($B$14-$B$16)/(1+$B$14)^4.5-$B$18+$B$19)/$B$20</f>
        <v>135.393444576534</v>
      </c>
      <c r="F28" s="26" t="n">
        <f aca="false">(SUMPRODUCT($C$8:$G$8,1/(1+$B$14)^$C$13:$G$13,$B$5*(1+$B28)^$C$7:$G$7*((F$24-$C$9:$G$9)*(1-$B$4)+$C$9:$G$9-$C$10:$G$10-$C$11:$G$11)+$B$5*(1+$B28)^($C$7:$G$7-1)*$C$12:$G$12)+$B$5*(1+$B28)^5*(F$24-$G$9)*(1-$B$4)*(1+$B$16)*(1-$B$16/$B$17)/($B$14-$B$16)/(1+$B$14)^4.5-$B$18+$B$19)/$B$20</f>
        <v>205.723060708044</v>
      </c>
      <c r="G28" s="26" t="n">
        <f aca="false">(SUMPRODUCT($C$8:$G$8,1/(1+$B$14)^$C$13:$G$13,$B$5*(1+$B28)^$C$7:$G$7*((G$24-$C$9:$G$9)*(1-$B$4)+$C$9:$G$9-$C$10:$G$10-$C$11:$G$11)+$B$5*(1+$B28)^($C$7:$G$7-1)*$C$12:$G$12)+$B$5*(1+$B28)^5*(G$24-$G$9)*(1-$B$4)*(1+$B$16)*(1-$B$16/$B$17)/($B$14-$B$16)/(1+$B$14)^4.5-$B$18+$B$19)/$B$20</f>
        <v>276.052676839554</v>
      </c>
      <c r="H28" s="26" t="n">
        <f aca="false">(SUMPRODUCT($C$8:$G$8,1/(1+$B$14)^$C$13:$G$13,$B$5*(1+$B28)^$C$7:$G$7*((H$24-$C$9:$G$9)*(1-$B$4)+$C$9:$G$9-$C$10:$G$10-$C$11:$G$11)+$B$5*(1+$B28)^($C$7:$G$7-1)*$C$12:$G$12)+$B$5*(1+$B28)^5*(H$24-$G$9)*(1-$B$4)*(1+$B$16)*(1-$B$16/$B$17)/($B$14-$B$16)/(1+$B$14)^4.5-$B$18+$B$19)/$B$20</f>
        <v>346.382292971064</v>
      </c>
    </row>
    <row r="29" customFormat="false" ht="15" hidden="false" customHeight="true" outlineLevel="0" collapsed="false">
      <c r="B29" s="39" t="n">
        <v>0.14</v>
      </c>
      <c r="C29" s="26" t="n">
        <f aca="false">(SUMPRODUCT($C$8:$G$8,1/(1+$B$14)^$C$13:$G$13,$B$5*(1+$B29)^$C$7:$G$7*((C$24-$C$9:$G$9)*(1-$B$4)+$C$9:$G$9-$C$10:$G$10-$C$11:$G$11)+$B$5*(1+$B29)^($C$7:$G$7-1)*$C$12:$G$12)+$B$5*(1+$B29)^5*(C$24-$G$9)*(1-$B$4)*(1+$B$16)*(1-$B$16/$B$17)/($B$14-$B$16)/(1+$B$14)^4.5-$B$18+$B$19)/$B$20</f>
        <v>5.07591285185199</v>
      </c>
      <c r="D29" s="26" t="n">
        <f aca="false">(SUMPRODUCT($C$8:$G$8,1/(1+$B$14)^$C$13:$G$13,$B$5*(1+$B29)^$C$7:$G$7*((D$24-$C$9:$G$9)*(1-$B$4)+$C$9:$G$9-$C$10:$G$10-$C$11:$G$11)+$B$5*(1+$B29)^($C$7:$G$7-1)*$C$12:$G$12)+$B$5*(1+$B29)^5*(D$24-$G$9)*(1-$B$4)*(1+$B$16)*(1-$B$16/$B$17)/($B$14-$B$16)/(1+$B$14)^4.5-$B$18+$B$19)/$B$20</f>
        <v>81.0933539176908</v>
      </c>
      <c r="E29" s="26" t="n">
        <f aca="false">(SUMPRODUCT($C$8:$G$8,1/(1+$B$14)^$C$13:$G$13,$B$5*(1+$B29)^$C$7:$G$7*((E$24-$C$9:$G$9)*(1-$B$4)+$C$9:$G$9-$C$10:$G$10-$C$11:$G$11)+$B$5*(1+$B29)^($C$7:$G$7-1)*$C$12:$G$12)+$B$5*(1+$B29)^5*(E$24-$G$9)*(1-$B$4)*(1+$B$16)*(1-$B$16/$B$17)/($B$14-$B$16)/(1+$B$14)^4.5-$B$18+$B$19)/$B$20</f>
        <v>157.11079498353</v>
      </c>
      <c r="F29" s="26" t="n">
        <f aca="false">(SUMPRODUCT($C$8:$G$8,1/(1+$B$14)^$C$13:$G$13,$B$5*(1+$B29)^$C$7:$G$7*((F$24-$C$9:$G$9)*(1-$B$4)+$C$9:$G$9-$C$10:$G$10-$C$11:$G$11)+$B$5*(1+$B29)^($C$7:$G$7-1)*$C$12:$G$12)+$B$5*(1+$B29)^5*(F$24-$G$9)*(1-$B$4)*(1+$B$16)*(1-$B$16/$B$17)/($B$14-$B$16)/(1+$B$14)^4.5-$B$18+$B$19)/$B$20</f>
        <v>233.128236049368</v>
      </c>
      <c r="G29" s="26" t="n">
        <f aca="false">(SUMPRODUCT($C$8:$G$8,1/(1+$B$14)^$C$13:$G$13,$B$5*(1+$B29)^$C$7:$G$7*((G$24-$C$9:$G$9)*(1-$B$4)+$C$9:$G$9-$C$10:$G$10-$C$11:$G$11)+$B$5*(1+$B29)^($C$7:$G$7-1)*$C$12:$G$12)+$B$5*(1+$B29)^5*(G$24-$G$9)*(1-$B$4)*(1+$B$16)*(1-$B$16/$B$17)/($B$14-$B$16)/(1+$B$14)^4.5-$B$18+$B$19)/$B$20</f>
        <v>309.145677115207</v>
      </c>
      <c r="H29" s="26" t="n">
        <f aca="false">(SUMPRODUCT($C$8:$G$8,1/(1+$B$14)^$C$13:$G$13,$B$5*(1+$B29)^$C$7:$G$7*((H$24-$C$9:$G$9)*(1-$B$4)+$C$9:$G$9-$C$10:$G$10-$C$11:$G$11)+$B$5*(1+$B29)^($C$7:$G$7-1)*$C$12:$G$12)+$B$5*(1+$B29)^5*(H$24-$G$9)*(1-$B$4)*(1+$B$16)*(1-$B$16/$B$17)/($B$14-$B$16)/(1+$B$14)^4.5-$B$18+$B$19)/$B$20</f>
        <v>385.163118181046</v>
      </c>
    </row>
    <row r="30" customFormat="false" ht="15" hidden="false" customHeight="true" outlineLevel="0" collapsed="false">
      <c r="B30" s="39" t="n">
        <v>0.16</v>
      </c>
      <c r="C30" s="26" t="n">
        <f aca="false">(SUMPRODUCT($C$8:$G$8,1/(1+$B$14)^$C$13:$G$13,$B$5*(1+$B30)^$C$7:$G$7*((C$24-$C$9:$G$9)*(1-$B$4)+$C$9:$G$9-$C$10:$G$10-$C$11:$G$11)+$B$5*(1+$B30)^($C$7:$G$7-1)*$C$12:$G$12)+$B$5*(1+$B30)^5*(C$24-$G$9)*(1-$B$4)*(1+$B$16)*(1-$B$16/$B$17)/($B$14-$B$16)/(1+$B$14)^4.5-$B$18+$B$19)/$B$20</f>
        <v>16.0709744001339</v>
      </c>
      <c r="D30" s="26" t="n">
        <f aca="false">(SUMPRODUCT($C$8:$G$8,1/(1+$B$14)^$C$13:$G$13,$B$5*(1+$B30)^$C$7:$G$7*((D$24-$C$9:$G$9)*(1-$B$4)+$C$9:$G$9-$C$10:$G$10-$C$11:$G$11)+$B$5*(1+$B30)^($C$7:$G$7-1)*$C$12:$G$12)+$B$5*(1+$B30)^5*(D$24-$G$9)*(1-$B$4)*(1+$B$16)*(1-$B$16/$B$17)/($B$14-$B$16)/(1+$B$14)^4.5-$B$18+$B$19)/$B$20</f>
        <v>98.1570168757997</v>
      </c>
      <c r="E30" s="26" t="n">
        <f aca="false">(SUMPRODUCT($C$8:$G$8,1/(1+$B$14)^$C$13:$G$13,$B$5*(1+$B30)^$C$7:$G$7*((E$24-$C$9:$G$9)*(1-$B$4)+$C$9:$G$9-$C$10:$G$10-$C$11:$G$11)+$B$5*(1+$B30)^($C$7:$G$7-1)*$C$12:$G$12)+$B$5*(1+$B30)^5*(E$24-$G$9)*(1-$B$4)*(1+$B$16)*(1-$B$16/$B$17)/($B$14-$B$16)/(1+$B$14)^4.5-$B$18+$B$19)/$B$20</f>
        <v>180.243059351466</v>
      </c>
      <c r="F30" s="26" t="n">
        <f aca="false">(SUMPRODUCT($C$8:$G$8,1/(1+$B$14)^$C$13:$G$13,$B$5*(1+$B30)^$C$7:$G$7*((F$24-$C$9:$G$9)*(1-$B$4)+$C$9:$G$9-$C$10:$G$10-$C$11:$G$11)+$B$5*(1+$B30)^($C$7:$G$7-1)*$C$12:$G$12)+$B$5*(1+$B30)^5*(F$24-$G$9)*(1-$B$4)*(1+$B$16)*(1-$B$16/$B$17)/($B$14-$B$16)/(1+$B$14)^4.5-$B$18+$B$19)/$B$20</f>
        <v>262.329101827132</v>
      </c>
      <c r="G30" s="26" t="n">
        <f aca="false">(SUMPRODUCT($C$8:$G$8,1/(1+$B$14)^$C$13:$G$13,$B$5*(1+$B30)^$C$7:$G$7*((G$24-$C$9:$G$9)*(1-$B$4)+$C$9:$G$9-$C$10:$G$10-$C$11:$G$11)+$B$5*(1+$B30)^($C$7:$G$7-1)*$C$12:$G$12)+$B$5*(1+$B30)^5*(G$24-$G$9)*(1-$B$4)*(1+$B$16)*(1-$B$16/$B$17)/($B$14-$B$16)/(1+$B$14)^4.5-$B$18+$B$19)/$B$20</f>
        <v>344.415144302798</v>
      </c>
      <c r="H30" s="26" t="n">
        <f aca="false">(SUMPRODUCT($C$8:$G$8,1/(1+$B$14)^$C$13:$G$13,$B$5*(1+$B30)^$C$7:$G$7*((H$24-$C$9:$G$9)*(1-$B$4)+$C$9:$G$9-$C$10:$G$10-$C$11:$G$11)+$B$5*(1+$B30)^($C$7:$G$7-1)*$C$12:$G$12)+$B$5*(1+$B30)^5*(H$24-$G$9)*(1-$B$4)*(1+$B$16)*(1-$B$16/$B$17)/($B$14-$B$16)/(1+$B$14)^4.5-$B$18+$B$19)/$B$20</f>
        <v>426.501186778464</v>
      </c>
    </row>
    <row r="31" customFormat="false" ht="15" hidden="false" customHeight="true" outlineLevel="0" collapsed="false">
      <c r="B31" s="39" t="n">
        <v>0.18</v>
      </c>
      <c r="C31" s="26" t="n">
        <f aca="false">(SUMPRODUCT($C$8:$G$8,1/(1+$B$14)^$C$13:$G$13,$B$5*(1+$B31)^$C$7:$G$7*((C$24-$C$9:$G$9)*(1-$B$4)+$C$9:$G$9-$C$10:$G$10-$C$11:$G$11)+$B$5*(1+$B31)^($C$7:$G$7-1)*$C$12:$G$12)+$B$5*(1+$B31)^5*(C$24-$G$9)*(1-$B$4)*(1+$B$16)*(1-$B$16/$B$17)/($B$14-$B$16)/(1+$B$14)^4.5-$B$18+$B$19)/$B$20</f>
        <v>27.7542496920365</v>
      </c>
      <c r="D31" s="26" t="n">
        <f aca="false">(SUMPRODUCT($C$8:$G$8,1/(1+$B$14)^$C$13:$G$13,$B$5*(1+$B31)^$C$7:$G$7*((D$24-$C$9:$G$9)*(1-$B$4)+$C$9:$G$9-$C$10:$G$10-$C$11:$G$11)+$B$5*(1+$B31)^($C$7:$G$7-1)*$C$12:$G$12)+$B$5*(1+$B31)^5*(D$24-$G$9)*(1-$B$4)*(1+$B$16)*(1-$B$16/$B$17)/($B$14-$B$16)/(1+$B$14)^4.5-$B$18+$B$19)/$B$20</f>
        <v>116.309105839866</v>
      </c>
      <c r="E31" s="26" t="n">
        <f aca="false">(SUMPRODUCT($C$8:$G$8,1/(1+$B$14)^$C$13:$G$13,$B$5*(1+$B31)^$C$7:$G$7*((E$24-$C$9:$G$9)*(1-$B$4)+$C$9:$G$9-$C$10:$G$10-$C$11:$G$11)+$B$5*(1+$B31)^($C$7:$G$7-1)*$C$12:$G$12)+$B$5*(1+$B31)^5*(E$24-$G$9)*(1-$B$4)*(1+$B$16)*(1-$B$16/$B$17)/($B$14-$B$16)/(1+$B$14)^4.5-$B$18+$B$19)/$B$20</f>
        <v>204.863961987697</v>
      </c>
      <c r="F31" s="26" t="n">
        <f aca="false">(SUMPRODUCT($C$8:$G$8,1/(1+$B$14)^$C$13:$G$13,$B$5*(1+$B31)^$C$7:$G$7*((F$24-$C$9:$G$9)*(1-$B$4)+$C$9:$G$9-$C$10:$G$10-$C$11:$G$11)+$B$5*(1+$B31)^($C$7:$G$7-1)*$C$12:$G$12)+$B$5*(1+$B31)^5*(F$24-$G$9)*(1-$B$4)*(1+$B$16)*(1-$B$16/$B$17)/($B$14-$B$16)/(1+$B$14)^4.5-$B$18+$B$19)/$B$20</f>
        <v>293.418818135527</v>
      </c>
      <c r="G31" s="26" t="n">
        <f aca="false">(SUMPRODUCT($C$8:$G$8,1/(1+$B$14)^$C$13:$G$13,$B$5*(1+$B31)^$C$7:$G$7*((G$24-$C$9:$G$9)*(1-$B$4)+$C$9:$G$9-$C$10:$G$10-$C$11:$G$11)+$B$5*(1+$B31)^($C$7:$G$7-1)*$C$12:$G$12)+$B$5*(1+$B31)^5*(G$24-$G$9)*(1-$B$4)*(1+$B$16)*(1-$B$16/$B$17)/($B$14-$B$16)/(1+$B$14)^4.5-$B$18+$B$19)/$B$20</f>
        <v>381.973674283356</v>
      </c>
      <c r="H31" s="26" t="n">
        <f aca="false">(SUMPRODUCT($C$8:$G$8,1/(1+$B$14)^$C$13:$G$13,$B$5*(1+$B31)^$C$7:$G$7*((H$24-$C$9:$G$9)*(1-$B$4)+$C$9:$G$9-$C$10:$G$10-$C$11:$G$11)+$B$5*(1+$B31)^($C$7:$G$7-1)*$C$12:$G$12)+$B$5*(1+$B31)^5*(H$24-$G$9)*(1-$B$4)*(1+$B$16)*(1-$B$16/$B$17)/($B$14-$B$16)/(1+$B$14)^4.5-$B$18+$B$19)/$B$20</f>
        <v>470.528530431187</v>
      </c>
    </row>
    <row r="32" customFormat="false" ht="15" hidden="false" customHeight="true" outlineLevel="0" collapsed="false">
      <c r="B32" s="39" t="n">
        <v>0.2</v>
      </c>
      <c r="C32" s="26" t="n">
        <f aca="false">(SUMPRODUCT($C$8:$G$8,1/(1+$B$14)^$C$13:$G$13,$B$5*(1+$B32)^$C$7:$G$7*((C$24-$C$9:$G$9)*(1-$B$4)+$C$9:$G$9-$C$10:$G$10-$C$11:$G$11)+$B$5*(1+$B32)^($C$7:$G$7-1)*$C$12:$G$12)+$B$5*(1+$B32)^5*(C$24-$G$9)*(1-$B$4)*(1+$B$16)*(1-$B$16/$B$17)/($B$14-$B$16)/(1+$B$14)^4.5-$B$18+$B$19)/$B$20</f>
        <v>40.1618091610917</v>
      </c>
      <c r="D32" s="26" t="n">
        <f aca="false">(SUMPRODUCT($C$8:$G$8,1/(1+$B$14)^$C$13:$G$13,$B$5*(1+$B32)^$C$7:$G$7*((D$24-$C$9:$G$9)*(1-$B$4)+$C$9:$G$9-$C$10:$G$10-$C$11:$G$11)+$B$5*(1+$B32)^($C$7:$G$7-1)*$C$12:$G$12)+$B$5*(1+$B32)^5*(D$24-$G$9)*(1-$B$4)*(1+$B$16)*(1-$B$16/$B$17)/($B$14-$B$16)/(1+$B$14)^4.5-$B$18+$B$19)/$B$20</f>
        <v>135.605788987106</v>
      </c>
      <c r="E32" s="26" t="n">
        <f aca="false">(SUMPRODUCT($C$8:$G$8,1/(1+$B$14)^$C$13:$G$13,$B$5*(1+$B32)^$C$7:$G$7*((E$24-$C$9:$G$9)*(1-$B$4)+$C$9:$G$9-$C$10:$G$10-$C$11:$G$11)+$B$5*(1+$B32)^($C$7:$G$7-1)*$C$12:$G$12)+$B$5*(1+$B32)^5*(E$24-$G$9)*(1-$B$4)*(1+$B$16)*(1-$B$16/$B$17)/($B$14-$B$16)/(1+$B$14)^4.5-$B$18+$B$19)/$B$20</f>
        <v>231.04976881312</v>
      </c>
      <c r="F32" s="26" t="n">
        <f aca="false">(SUMPRODUCT($C$8:$G$8,1/(1+$B$14)^$C$13:$G$13,$B$5*(1+$B32)^$C$7:$G$7*((F$24-$C$9:$G$9)*(1-$B$4)+$C$9:$G$9-$C$10:$G$10-$C$11:$G$11)+$B$5*(1+$B32)^($C$7:$G$7-1)*$C$12:$G$12)+$B$5*(1+$B32)^5*(F$24-$G$9)*(1-$B$4)*(1+$B$16)*(1-$B$16/$B$17)/($B$14-$B$16)/(1+$B$14)^4.5-$B$18+$B$19)/$B$20</f>
        <v>326.493748639135</v>
      </c>
      <c r="G32" s="26" t="n">
        <f aca="false">(SUMPRODUCT($C$8:$G$8,1/(1+$B$14)^$C$13:$G$13,$B$5*(1+$B32)^$C$7:$G$7*((G$24-$C$9:$G$9)*(1-$B$4)+$C$9:$G$9-$C$10:$G$10-$C$11:$G$11)+$B$5*(1+$B32)^($C$7:$G$7-1)*$C$12:$G$12)+$B$5*(1+$B32)^5*(G$24-$G$9)*(1-$B$4)*(1+$B$16)*(1-$B$16/$B$17)/($B$14-$B$16)/(1+$B$14)^4.5-$B$18+$B$19)/$B$20</f>
        <v>421.937728465149</v>
      </c>
      <c r="H32" s="26" t="n">
        <f aca="false">(SUMPRODUCT($C$8:$G$8,1/(1+$B$14)^$C$13:$G$13,$B$5*(1+$B32)^$C$7:$G$7*((H$24-$C$9:$G$9)*(1-$B$4)+$C$9:$G$9-$C$10:$G$10-$C$11:$G$11)+$B$5*(1+$B32)^($C$7:$G$7-1)*$C$12:$G$12)+$B$5*(1+$B32)^5*(H$24-$G$9)*(1-$B$4)*(1+$B$16)*(1-$B$16/$B$17)/($B$14-$B$16)/(1+$B$14)^4.5-$B$18+$B$19)/$B$20</f>
        <v>517.381708291164</v>
      </c>
    </row>
    <row r="33" customFormat="false" ht="15" hidden="false" customHeight="true" outlineLevel="0" collapsed="false">
      <c r="B33" s="39" t="n">
        <v>0.22</v>
      </c>
      <c r="C33" s="26" t="n">
        <f aca="false">(SUMPRODUCT($C$8:$G$8,1/(1+$B$14)^$C$13:$G$13,$B$5*(1+$B33)^$C$7:$G$7*((C$24-$C$9:$G$9)*(1-$B$4)+$C$9:$G$9-$C$10:$G$10-$C$11:$G$11)+$B$5*(1+$B33)^($C$7:$G$7-1)*$C$12:$G$12)+$B$5*(1+$B33)^5*(C$24-$G$9)*(1-$B$4)*(1+$B$16)*(1-$B$16/$B$17)/($B$14-$B$16)/(1+$B$14)^4.5-$B$18+$B$19)/$B$20</f>
        <v>53.330961873869</v>
      </c>
      <c r="D33" s="26" t="n">
        <f aca="false">(SUMPRODUCT($C$8:$G$8,1/(1+$B$14)^$C$13:$G$13,$B$5*(1+$B33)^$C$7:$G$7*((D$24-$C$9:$G$9)*(1-$B$4)+$C$9:$G$9-$C$10:$G$10-$C$11:$G$11)+$B$5*(1+$B33)^($C$7:$G$7-1)*$C$12:$G$12)+$B$5*(1+$B33)^5*(D$24-$G$9)*(1-$B$4)*(1+$B$16)*(1-$B$16/$B$17)/($B$14-$B$16)/(1+$B$14)^4.5-$B$18+$B$19)/$B$20</f>
        <v>156.105146270861</v>
      </c>
      <c r="E33" s="26" t="n">
        <f aca="false">(SUMPRODUCT($C$8:$G$8,1/(1+$B$14)^$C$13:$G$13,$B$5*(1+$B33)^$C$7:$G$7*((E$24-$C$9:$G$9)*(1-$B$4)+$C$9:$G$9-$C$10:$G$10-$C$11:$G$11)+$B$5*(1+$B33)^($C$7:$G$7-1)*$C$12:$G$12)+$B$5*(1+$B33)^5*(E$24-$G$9)*(1-$B$4)*(1+$B$16)*(1-$B$16/$B$17)/($B$14-$B$16)/(1+$B$14)^4.5-$B$18+$B$19)/$B$20</f>
        <v>258.879330667853</v>
      </c>
      <c r="F33" s="26" t="n">
        <f aca="false">(SUMPRODUCT($C$8:$G$8,1/(1+$B$14)^$C$13:$G$13,$B$5*(1+$B33)^$C$7:$G$7*((F$24-$C$9:$G$9)*(1-$B$4)+$C$9:$G$9-$C$10:$G$10-$C$11:$G$11)+$B$5*(1+$B33)^($C$7:$G$7-1)*$C$12:$G$12)+$B$5*(1+$B33)^5*(F$24-$G$9)*(1-$B$4)*(1+$B$16)*(1-$B$16/$B$17)/($B$14-$B$16)/(1+$B$14)^4.5-$B$18+$B$19)/$B$20</f>
        <v>361.653515064845</v>
      </c>
      <c r="G33" s="26" t="n">
        <f aca="false">(SUMPRODUCT($C$8:$G$8,1/(1+$B$14)^$C$13:$G$13,$B$5*(1+$B33)^$C$7:$G$7*((G$24-$C$9:$G$9)*(1-$B$4)+$C$9:$G$9-$C$10:$G$10-$C$11:$G$11)+$B$5*(1+$B33)^($C$7:$G$7-1)*$C$12:$G$12)+$B$5*(1+$B33)^5*(G$24-$G$9)*(1-$B$4)*(1+$B$16)*(1-$B$16/$B$17)/($B$14-$B$16)/(1+$B$14)^4.5-$B$18+$B$19)/$B$20</f>
        <v>464.427699461837</v>
      </c>
      <c r="H33" s="26" t="n">
        <f aca="false">(SUMPRODUCT($C$8:$G$8,1/(1+$B$14)^$C$13:$G$13,$B$5*(1+$B33)^$C$7:$G$7*((H$24-$C$9:$G$9)*(1-$B$4)+$C$9:$G$9-$C$10:$G$10-$C$11:$G$11)+$B$5*(1+$B33)^($C$7:$G$7-1)*$C$12:$G$12)+$B$5*(1+$B33)^5*(H$24-$G$9)*(1-$B$4)*(1+$B$16)*(1-$B$16/$B$17)/($B$14-$B$16)/(1+$B$14)^4.5-$B$18+$B$19)/$B$20</f>
        <v>567.201883858829</v>
      </c>
    </row>
    <row r="35" customFormat="false" ht="15" hidden="false" customHeight="true" outlineLevel="0" collapsed="false">
      <c r="A35" s="19" t="s">
        <v>253</v>
      </c>
      <c r="B35" s="20"/>
      <c r="C35" s="20"/>
      <c r="D35" s="20"/>
      <c r="E35" s="20"/>
      <c r="F35" s="20"/>
      <c r="G35" s="20"/>
      <c r="H35" s="20"/>
      <c r="I35" s="20"/>
    </row>
    <row r="36" customFormat="false" ht="15" hidden="false" customHeight="true" outlineLevel="0" collapsed="false">
      <c r="B36" s="4" t="s">
        <v>252</v>
      </c>
      <c r="C36" s="39" t="n">
        <v>0.16</v>
      </c>
      <c r="D36" s="39" t="n">
        <v>0.18</v>
      </c>
      <c r="E36" s="39" t="n">
        <v>0.2</v>
      </c>
      <c r="F36" s="39" t="n">
        <v>0.22</v>
      </c>
      <c r="G36" s="39" t="n">
        <v>0.24</v>
      </c>
      <c r="H36" s="39" t="n">
        <v>0.26</v>
      </c>
    </row>
    <row r="37" customFormat="false" ht="15" hidden="false" customHeight="true" outlineLevel="0" collapsed="false">
      <c r="B37" s="39" t="n">
        <v>0.06</v>
      </c>
      <c r="C37" s="26" t="n">
        <f aca="false">(SUMPRODUCT($C$8:$G$8,1/(1+$B$15)^$C$13:$G$13,$B$5*(1+$B37)^$C$7:$G$7*((C$36-$C$9:$G$9)*(1-$B$4)+$C$9:$G$9-$C$10:$G$10-$C$11:$G$11)+$B$5*(1+$B37)^($C$7:$G$7-1)*$C$12:$G$12)+$B$5*(1+$B37)^5*(C$36-$G$9)*(1-$B$4)*(1+$B$16)*(1-$B$16/$B$17)/($B$15-$B$16)/(1+$B$15)^4.5-$B$18+$B$19)/$B$20</f>
        <v>53.9494875532806</v>
      </c>
      <c r="D37" s="26" t="n">
        <f aca="false">(SUMPRODUCT($C$8:$G$8,1/(1+$B$15)^$C$13:$G$13,$B$5*(1+$B37)^$C$7:$G$7*((D$36-$C$9:$G$9)*(1-$B$4)+$C$9:$G$9-$C$10:$G$10-$C$11:$G$11)+$B$5*(1+$B37)^($C$7:$G$7-1)*$C$12:$G$12)+$B$5*(1+$B37)^5*(D$36-$G$9)*(1-$B$4)*(1+$B$16)*(1-$B$16/$B$17)/($B$15-$B$16)/(1+$B$15)^4.5-$B$18+$B$19)/$B$20</f>
        <v>127.721228120314</v>
      </c>
      <c r="E37" s="26" t="n">
        <f aca="false">(SUMPRODUCT($C$8:$G$8,1/(1+$B$15)^$C$13:$G$13,$B$5*(1+$B37)^$C$7:$G$7*((E$36-$C$9:$G$9)*(1-$B$4)+$C$9:$G$9-$C$10:$G$10-$C$11:$G$11)+$B$5*(1+$B37)^($C$7:$G$7-1)*$C$12:$G$12)+$B$5*(1+$B37)^5*(E$36-$G$9)*(1-$B$4)*(1+$B$16)*(1-$B$16/$B$17)/($B$15-$B$16)/(1+$B$15)^4.5-$B$18+$B$19)/$B$20</f>
        <v>201.492968687347</v>
      </c>
      <c r="F37" s="26" t="n">
        <f aca="false">(SUMPRODUCT($C$8:$G$8,1/(1+$B$15)^$C$13:$G$13,$B$5*(1+$B37)^$C$7:$G$7*((F$36-$C$9:$G$9)*(1-$B$4)+$C$9:$G$9-$C$10:$G$10-$C$11:$G$11)+$B$5*(1+$B37)^($C$7:$G$7-1)*$C$12:$G$12)+$B$5*(1+$B37)^5*(F$36-$G$9)*(1-$B$4)*(1+$B$16)*(1-$B$16/$B$17)/($B$15-$B$16)/(1+$B$15)^4.5-$B$18+$B$19)/$B$20</f>
        <v>275.26470925438</v>
      </c>
      <c r="G37" s="26" t="n">
        <f aca="false">(SUMPRODUCT($C$8:$G$8,1/(1+$B$15)^$C$13:$G$13,$B$5*(1+$B37)^$C$7:$G$7*((G$36-$C$9:$G$9)*(1-$B$4)+$C$9:$G$9-$C$10:$G$10-$C$11:$G$11)+$B$5*(1+$B37)^($C$7:$G$7-1)*$C$12:$G$12)+$B$5*(1+$B37)^5*(G$36-$G$9)*(1-$B$4)*(1+$B$16)*(1-$B$16/$B$17)/($B$15-$B$16)/(1+$B$15)^4.5-$B$18+$B$19)/$B$20</f>
        <v>349.036449821414</v>
      </c>
      <c r="H37" s="26" t="n">
        <f aca="false">(SUMPRODUCT($C$8:$G$8,1/(1+$B$15)^$C$13:$G$13,$B$5*(1+$B37)^$C$7:$G$7*((H$36-$C$9:$G$9)*(1-$B$4)+$C$9:$G$9-$C$10:$G$10-$C$11:$G$11)+$B$5*(1+$B37)^($C$7:$G$7-1)*$C$12:$G$12)+$B$5*(1+$B37)^5*(H$36-$G$9)*(1-$B$4)*(1+$B$16)*(1-$B$16/$B$17)/($B$15-$B$16)/(1+$B$15)^4.5-$B$18+$B$19)/$B$20</f>
        <v>422.808190388447</v>
      </c>
    </row>
    <row r="38" customFormat="false" ht="15" hidden="false" customHeight="true" outlineLevel="0" collapsed="false">
      <c r="B38" s="39" t="n">
        <v>0.08</v>
      </c>
      <c r="C38" s="26" t="n">
        <f aca="false">(SUMPRODUCT($C$8:$G$8,1/(1+$B$15)^$C$13:$G$13,$B$5*(1+$B38)^$C$7:$G$7*((C$36-$C$9:$G$9)*(1-$B$4)+$C$9:$G$9-$C$10:$G$10-$C$11:$G$11)+$B$5*(1+$B38)^($C$7:$G$7-1)*$C$12:$G$12)+$B$5*(1+$B38)^5*(C$36-$G$9)*(1-$B$4)*(1+$B$16)*(1-$B$16/$B$17)/($B$15-$B$16)/(1+$B$15)^4.5-$B$18+$B$19)/$B$20</f>
        <v>70.548747624235</v>
      </c>
      <c r="D38" s="26" t="n">
        <f aca="false">(SUMPRODUCT($C$8:$G$8,1/(1+$B$15)^$C$13:$G$13,$B$5*(1+$B38)^$C$7:$G$7*((D$36-$C$9:$G$9)*(1-$B$4)+$C$9:$G$9-$C$10:$G$10-$C$11:$G$11)+$B$5*(1+$B38)^($C$7:$G$7-1)*$C$12:$G$12)+$B$5*(1+$B38)^5*(D$36-$G$9)*(1-$B$4)*(1+$B$16)*(1-$B$16/$B$17)/($B$15-$B$16)/(1+$B$15)^4.5-$B$18+$B$19)/$B$20</f>
        <v>150.761919657065</v>
      </c>
      <c r="E38" s="26" t="n">
        <f aca="false">(SUMPRODUCT($C$8:$G$8,1/(1+$B$15)^$C$13:$G$13,$B$5*(1+$B38)^$C$7:$G$7*((E$36-$C$9:$G$9)*(1-$B$4)+$C$9:$G$9-$C$10:$G$10-$C$11:$G$11)+$B$5*(1+$B38)^($C$7:$G$7-1)*$C$12:$G$12)+$B$5*(1+$B38)^5*(E$36-$G$9)*(1-$B$4)*(1+$B$16)*(1-$B$16/$B$17)/($B$15-$B$16)/(1+$B$15)^4.5-$B$18+$B$19)/$B$20</f>
        <v>230.975091689896</v>
      </c>
      <c r="F38" s="26" t="n">
        <f aca="false">(SUMPRODUCT($C$8:$G$8,1/(1+$B$15)^$C$13:$G$13,$B$5*(1+$B38)^$C$7:$G$7*((F$36-$C$9:$G$9)*(1-$B$4)+$C$9:$G$9-$C$10:$G$10-$C$11:$G$11)+$B$5*(1+$B38)^($C$7:$G$7-1)*$C$12:$G$12)+$B$5*(1+$B38)^5*(F$36-$G$9)*(1-$B$4)*(1+$B$16)*(1-$B$16/$B$17)/($B$15-$B$16)/(1+$B$15)^4.5-$B$18+$B$19)/$B$20</f>
        <v>311.188263722726</v>
      </c>
      <c r="G38" s="26" t="n">
        <f aca="false">(SUMPRODUCT($C$8:$G$8,1/(1+$B$15)^$C$13:$G$13,$B$5*(1+$B38)^$C$7:$G$7*((G$36-$C$9:$G$9)*(1-$B$4)+$C$9:$G$9-$C$10:$G$10-$C$11:$G$11)+$B$5*(1+$B38)^($C$7:$G$7-1)*$C$12:$G$12)+$B$5*(1+$B38)^5*(G$36-$G$9)*(1-$B$4)*(1+$B$16)*(1-$B$16/$B$17)/($B$15-$B$16)/(1+$B$15)^4.5-$B$18+$B$19)/$B$20</f>
        <v>391.401435755556</v>
      </c>
      <c r="H38" s="26" t="n">
        <f aca="false">(SUMPRODUCT($C$8:$G$8,1/(1+$B$15)^$C$13:$G$13,$B$5*(1+$B38)^$C$7:$G$7*((H$36-$C$9:$G$9)*(1-$B$4)+$C$9:$G$9-$C$10:$G$10-$C$11:$G$11)+$B$5*(1+$B38)^($C$7:$G$7-1)*$C$12:$G$12)+$B$5*(1+$B38)^5*(H$36-$G$9)*(1-$B$4)*(1+$B$16)*(1-$B$16/$B$17)/($B$15-$B$16)/(1+$B$15)^4.5-$B$18+$B$19)/$B$20</f>
        <v>471.614607788387</v>
      </c>
    </row>
    <row r="39" customFormat="false" ht="15" hidden="false" customHeight="true" outlineLevel="0" collapsed="false">
      <c r="B39" s="39" t="n">
        <v>0.1</v>
      </c>
      <c r="C39" s="26" t="n">
        <f aca="false">(SUMPRODUCT($C$8:$G$8,1/(1+$B$15)^$C$13:$G$13,$B$5*(1+$B39)^$C$7:$G$7*((C$36-$C$9:$G$9)*(1-$B$4)+$C$9:$G$9-$C$10:$G$10-$C$11:$G$11)+$B$5*(1+$B39)^($C$7:$G$7-1)*$C$12:$G$12)+$B$5*(1+$B39)^5*(C$36-$G$9)*(1-$B$4)*(1+$B$16)*(1-$B$16/$B$17)/($B$15-$B$16)/(1+$B$15)^4.5-$B$18+$B$19)/$B$20</f>
        <v>88.3044497631593</v>
      </c>
      <c r="D39" s="26" t="n">
        <f aca="false">(SUMPRODUCT($C$8:$G$8,1/(1+$B$15)^$C$13:$G$13,$B$5*(1+$B39)^$C$7:$G$7*((D$36-$C$9:$G$9)*(1-$B$4)+$C$9:$G$9-$C$10:$G$10-$C$11:$G$11)+$B$5*(1+$B39)^($C$7:$G$7-1)*$C$12:$G$12)+$B$5*(1+$B39)^5*(D$36-$G$9)*(1-$B$4)*(1+$B$16)*(1-$B$16/$B$17)/($B$15-$B$16)/(1+$B$15)^4.5-$B$18+$B$19)/$B$20</f>
        <v>175.421742144039</v>
      </c>
      <c r="E39" s="26" t="n">
        <f aca="false">(SUMPRODUCT($C$8:$G$8,1/(1+$B$15)^$C$13:$G$13,$B$5*(1+$B39)^$C$7:$G$7*((E$36-$C$9:$G$9)*(1-$B$4)+$C$9:$G$9-$C$10:$G$10-$C$11:$G$11)+$B$5*(1+$B39)^($C$7:$G$7-1)*$C$12:$G$12)+$B$5*(1+$B39)^5*(E$36-$G$9)*(1-$B$4)*(1+$B$16)*(1-$B$16/$B$17)/($B$15-$B$16)/(1+$B$15)^4.5-$B$18+$B$19)/$B$20</f>
        <v>262.53903452492</v>
      </c>
      <c r="F39" s="26" t="n">
        <f aca="false">(SUMPRODUCT($C$8:$G$8,1/(1+$B$15)^$C$13:$G$13,$B$5*(1+$B39)^$C$7:$G$7*((F$36-$C$9:$G$9)*(1-$B$4)+$C$9:$G$9-$C$10:$G$10-$C$11:$G$11)+$B$5*(1+$B39)^($C$7:$G$7-1)*$C$12:$G$12)+$B$5*(1+$B39)^5*(F$36-$G$9)*(1-$B$4)*(1+$B$16)*(1-$B$16/$B$17)/($B$15-$B$16)/(1+$B$15)^4.5-$B$18+$B$19)/$B$20</f>
        <v>349.6563269058</v>
      </c>
      <c r="G39" s="26" t="n">
        <f aca="false">(SUMPRODUCT($C$8:$G$8,1/(1+$B$15)^$C$13:$G$13,$B$5*(1+$B39)^$C$7:$G$7*((G$36-$C$9:$G$9)*(1-$B$4)+$C$9:$G$9-$C$10:$G$10-$C$11:$G$11)+$B$5*(1+$B39)^($C$7:$G$7-1)*$C$12:$G$12)+$B$5*(1+$B39)^5*(G$36-$G$9)*(1-$B$4)*(1+$B$16)*(1-$B$16/$B$17)/($B$15-$B$16)/(1+$B$15)^4.5-$B$18+$B$19)/$B$20</f>
        <v>436.77361928668</v>
      </c>
      <c r="H39" s="26" t="n">
        <f aca="false">(SUMPRODUCT($C$8:$G$8,1/(1+$B$15)^$C$13:$G$13,$B$5*(1+$B39)^$C$7:$G$7*((H$36-$C$9:$G$9)*(1-$B$4)+$C$9:$G$9-$C$10:$G$10-$C$11:$G$11)+$B$5*(1+$B39)^($C$7:$G$7-1)*$C$12:$G$12)+$B$5*(1+$B39)^5*(H$36-$G$9)*(1-$B$4)*(1+$B$16)*(1-$B$16/$B$17)/($B$15-$B$16)/(1+$B$15)^4.5-$B$18+$B$19)/$B$20</f>
        <v>523.89091166756</v>
      </c>
    </row>
    <row r="40" customFormat="false" ht="15" hidden="false" customHeight="true" outlineLevel="0" collapsed="false">
      <c r="B40" s="39" t="n">
        <v>0.12</v>
      </c>
      <c r="C40" s="26" t="n">
        <f aca="false">(SUMPRODUCT($C$8:$G$8,1/(1+$B$15)^$C$13:$G$13,$B$5*(1+$B40)^$C$7:$G$7*((C$36-$C$9:$G$9)*(1-$B$4)+$C$9:$G$9-$C$10:$G$10-$C$11:$G$11)+$B$5*(1+$B40)^($C$7:$G$7-1)*$C$12:$G$12)+$B$5*(1+$B40)^5*(C$36-$G$9)*(1-$B$4)*(1+$B$16)*(1-$B$16/$B$17)/($B$15-$B$16)/(1+$B$15)^4.5-$B$18+$B$19)/$B$20</f>
        <v>107.28146211459</v>
      </c>
      <c r="D40" s="26" t="n">
        <f aca="false">(SUMPRODUCT($C$8:$G$8,1/(1+$B$15)^$C$13:$G$13,$B$5*(1+$B40)^$C$7:$G$7*((D$36-$C$9:$G$9)*(1-$B$4)+$C$9:$G$9-$C$10:$G$10-$C$11:$G$11)+$B$5*(1+$B40)^($C$7:$G$7-1)*$C$12:$G$12)+$B$5*(1+$B40)^5*(D$36-$G$9)*(1-$B$4)*(1+$B$16)*(1-$B$16/$B$17)/($B$15-$B$16)/(1+$B$15)^4.5-$B$18+$B$19)/$B$20</f>
        <v>201.790759727349</v>
      </c>
      <c r="E40" s="26" t="n">
        <f aca="false">(SUMPRODUCT($C$8:$G$8,1/(1+$B$15)^$C$13:$G$13,$B$5*(1+$B40)^$C$7:$G$7*((E$36-$C$9:$G$9)*(1-$B$4)+$C$9:$G$9-$C$10:$G$10-$C$11:$G$11)+$B$5*(1+$B40)^($C$7:$G$7-1)*$C$12:$G$12)+$B$5*(1+$B40)^5*(E$36-$G$9)*(1-$B$4)*(1+$B$16)*(1-$B$16/$B$17)/($B$15-$B$16)/(1+$B$15)^4.5-$B$18+$B$19)/$B$20</f>
        <v>296.300057340109</v>
      </c>
      <c r="F40" s="26" t="n">
        <f aca="false">(SUMPRODUCT($C$8:$G$8,1/(1+$B$15)^$C$13:$G$13,$B$5*(1+$B40)^$C$7:$G$7*((F$36-$C$9:$G$9)*(1-$B$4)+$C$9:$G$9-$C$10:$G$10-$C$11:$G$11)+$B$5*(1+$B40)^($C$7:$G$7-1)*$C$12:$G$12)+$B$5*(1+$B40)^5*(F$36-$G$9)*(1-$B$4)*(1+$B$16)*(1-$B$16/$B$17)/($B$15-$B$16)/(1+$B$15)^4.5-$B$18+$B$19)/$B$20</f>
        <v>390.809354952868</v>
      </c>
      <c r="G40" s="26" t="n">
        <f aca="false">(SUMPRODUCT($C$8:$G$8,1/(1+$B$15)^$C$13:$G$13,$B$5*(1+$B40)^$C$7:$G$7*((G$36-$C$9:$G$9)*(1-$B$4)+$C$9:$G$9-$C$10:$G$10-$C$11:$G$11)+$B$5*(1+$B40)^($C$7:$G$7-1)*$C$12:$G$12)+$B$5*(1+$B40)^5*(G$36-$G$9)*(1-$B$4)*(1+$B$16)*(1-$B$16/$B$17)/($B$15-$B$16)/(1+$B$15)^4.5-$B$18+$B$19)/$B$20</f>
        <v>485.318652565627</v>
      </c>
      <c r="H40" s="26" t="n">
        <f aca="false">(SUMPRODUCT($C$8:$G$8,1/(1+$B$15)^$C$13:$G$13,$B$5*(1+$B40)^$C$7:$G$7*((H$36-$C$9:$G$9)*(1-$B$4)+$C$9:$G$9-$C$10:$G$10-$C$11:$G$11)+$B$5*(1+$B40)^($C$7:$G$7-1)*$C$12:$G$12)+$B$5*(1+$B40)^5*(H$36-$G$9)*(1-$B$4)*(1+$B$16)*(1-$B$16/$B$17)/($B$15-$B$16)/(1+$B$15)^4.5-$B$18+$B$19)/$B$20</f>
        <v>579.827950178386</v>
      </c>
    </row>
    <row r="41" customFormat="false" ht="15" hidden="false" customHeight="true" outlineLevel="0" collapsed="false">
      <c r="B41" s="39" t="n">
        <v>0.14</v>
      </c>
      <c r="C41" s="26" t="n">
        <f aca="false">(SUMPRODUCT($C$8:$G$8,1/(1+$B$15)^$C$13:$G$13,$B$5*(1+$B41)^$C$7:$G$7*((C$36-$C$9:$G$9)*(1-$B$4)+$C$9:$G$9-$C$10:$G$10-$C$11:$G$11)+$B$5*(1+$B41)^($C$7:$G$7-1)*$C$12:$G$12)+$B$5*(1+$B41)^5*(C$36-$G$9)*(1-$B$4)*(1+$B$16)*(1-$B$16/$B$17)/($B$15-$B$16)/(1+$B$15)^4.5-$B$18+$B$19)/$B$20</f>
        <v>127.547040455211</v>
      </c>
      <c r="D41" s="26" t="n">
        <f aca="false">(SUMPRODUCT($C$8:$G$8,1/(1+$B$15)^$C$13:$G$13,$B$5*(1+$B41)^$C$7:$G$7*((D$36-$C$9:$G$9)*(1-$B$4)+$C$9:$G$9-$C$10:$G$10-$C$11:$G$11)+$B$5*(1+$B41)^($C$7:$G$7-1)*$C$12:$G$12)+$B$5*(1+$B41)^5*(D$36-$G$9)*(1-$B$4)*(1+$B$16)*(1-$B$16/$B$17)/($B$15-$B$16)/(1+$B$15)^4.5-$B$18+$B$19)/$B$20</f>
        <v>229.962335977482</v>
      </c>
      <c r="E41" s="26" t="n">
        <f aca="false">(SUMPRODUCT($C$8:$G$8,1/(1+$B$15)^$C$13:$G$13,$B$5*(1+$B41)^$C$7:$G$7*((E$36-$C$9:$G$9)*(1-$B$4)+$C$9:$G$9-$C$10:$G$10-$C$11:$G$11)+$B$5*(1+$B41)^($C$7:$G$7-1)*$C$12:$G$12)+$B$5*(1+$B41)^5*(E$36-$G$9)*(1-$B$4)*(1+$B$16)*(1-$B$16/$B$17)/($B$15-$B$16)/(1+$B$15)^4.5-$B$18+$B$19)/$B$20</f>
        <v>332.377631499752</v>
      </c>
      <c r="F41" s="26" t="n">
        <f aca="false">(SUMPRODUCT($C$8:$G$8,1/(1+$B$15)^$C$13:$G$13,$B$5*(1+$B41)^$C$7:$G$7*((F$36-$C$9:$G$9)*(1-$B$4)+$C$9:$G$9-$C$10:$G$10-$C$11:$G$11)+$B$5*(1+$B41)^($C$7:$G$7-1)*$C$12:$G$12)+$B$5*(1+$B41)^5*(F$36-$G$9)*(1-$B$4)*(1+$B$16)*(1-$B$16/$B$17)/($B$15-$B$16)/(1+$B$15)^4.5-$B$18+$B$19)/$B$20</f>
        <v>434.792927022022</v>
      </c>
      <c r="G41" s="26" t="n">
        <f aca="false">(SUMPRODUCT($C$8:$G$8,1/(1+$B$15)^$C$13:$G$13,$B$5*(1+$B41)^$C$7:$G$7*((G$36-$C$9:$G$9)*(1-$B$4)+$C$9:$G$9-$C$10:$G$10-$C$11:$G$11)+$B$5*(1+$B41)^($C$7:$G$7-1)*$C$12:$G$12)+$B$5*(1+$B41)^5*(G$36-$G$9)*(1-$B$4)*(1+$B$16)*(1-$B$16/$B$17)/($B$15-$B$16)/(1+$B$15)^4.5-$B$18+$B$19)/$B$20</f>
        <v>537.208222544293</v>
      </c>
      <c r="H41" s="26" t="n">
        <f aca="false">(SUMPRODUCT($C$8:$G$8,1/(1+$B$15)^$C$13:$G$13,$B$5*(1+$B41)^$C$7:$G$7*((H$36-$C$9:$G$9)*(1-$B$4)+$C$9:$G$9-$C$10:$G$10-$C$11:$G$11)+$B$5*(1+$B41)^($C$7:$G$7-1)*$C$12:$G$12)+$B$5*(1+$B41)^5*(H$36-$G$9)*(1-$B$4)*(1+$B$16)*(1-$B$16/$B$17)/($B$15-$B$16)/(1+$B$15)^4.5-$B$18+$B$19)/$B$20</f>
        <v>639.623518066564</v>
      </c>
    </row>
    <row r="42" customFormat="false" ht="15" hidden="false" customHeight="true" outlineLevel="0" collapsed="false">
      <c r="B42" s="39" t="n">
        <v>0.16</v>
      </c>
      <c r="C42" s="26" t="n">
        <f aca="false">(SUMPRODUCT($C$8:$G$8,1/(1+$B$15)^$C$13:$G$13,$B$5*(1+$B42)^$C$7:$G$7*((C$36-$C$9:$G$9)*(1-$B$4)+$C$9:$G$9-$C$10:$G$10-$C$11:$G$11)+$B$5*(1+$B42)^($C$7:$G$7-1)*$C$12:$G$12)+$B$5*(1+$B42)^5*(C$36-$G$9)*(1-$B$4)*(1+$B$16)*(1-$B$16/$B$17)/($B$15-$B$16)/(1+$B$15)^4.5-$B$18+$B$19)/$B$20</f>
        <v>149.170871429234</v>
      </c>
      <c r="D42" s="26" t="n">
        <f aca="false">(SUMPRODUCT($C$8:$G$8,1/(1+$B$15)^$C$13:$G$13,$B$5*(1+$B42)^$C$7:$G$7*((D$36-$C$9:$G$9)*(1-$B$4)+$C$9:$G$9-$C$10:$G$10-$C$11:$G$11)+$B$5*(1+$B42)^($C$7:$G$7-1)*$C$12:$G$12)+$B$5*(1+$B42)^5*(D$36-$G$9)*(1-$B$4)*(1+$B$16)*(1-$B$16/$B$17)/($B$15-$B$16)/(1+$B$15)^4.5-$B$18+$B$19)/$B$20</f>
        <v>260.033193450685</v>
      </c>
      <c r="E42" s="26" t="n">
        <f aca="false">(SUMPRODUCT($C$8:$G$8,1/(1+$B$15)^$C$13:$G$13,$B$5*(1+$B42)^$C$7:$G$7*((E$36-$C$9:$G$9)*(1-$B$4)+$C$9:$G$9-$C$10:$G$10-$C$11:$G$11)+$B$5*(1+$B42)^($C$7:$G$7-1)*$C$12:$G$12)+$B$5*(1+$B42)^5*(E$36-$G$9)*(1-$B$4)*(1+$B$16)*(1-$B$16/$B$17)/($B$15-$B$16)/(1+$B$15)^4.5-$B$18+$B$19)/$B$20</f>
        <v>370.895515472136</v>
      </c>
      <c r="F42" s="26" t="n">
        <f aca="false">(SUMPRODUCT($C$8:$G$8,1/(1+$B$15)^$C$13:$G$13,$B$5*(1+$B42)^$C$7:$G$7*((F$36-$C$9:$G$9)*(1-$B$4)+$C$9:$G$9-$C$10:$G$10-$C$11:$G$11)+$B$5*(1+$B42)^($C$7:$G$7-1)*$C$12:$G$12)+$B$5*(1+$B42)^5*(F$36-$G$9)*(1-$B$4)*(1+$B$16)*(1-$B$16/$B$17)/($B$15-$B$16)/(1+$B$15)^4.5-$B$18+$B$19)/$B$20</f>
        <v>481.757837493587</v>
      </c>
      <c r="G42" s="26" t="n">
        <f aca="false">(SUMPRODUCT($C$8:$G$8,1/(1+$B$15)^$C$13:$G$13,$B$5*(1+$B42)^$C$7:$G$7*((G$36-$C$9:$G$9)*(1-$B$4)+$C$9:$G$9-$C$10:$G$10-$C$11:$G$11)+$B$5*(1+$B42)^($C$7:$G$7-1)*$C$12:$G$12)+$B$5*(1+$B42)^5*(G$36-$G$9)*(1-$B$4)*(1+$B$16)*(1-$B$16/$B$17)/($B$15-$B$16)/(1+$B$15)^4.5-$B$18+$B$19)/$B$20</f>
        <v>592.620159515038</v>
      </c>
      <c r="H42" s="26" t="n">
        <f aca="false">(SUMPRODUCT($C$8:$G$8,1/(1+$B$15)^$C$13:$G$13,$B$5*(1+$B42)^$C$7:$G$7*((H$36-$C$9:$G$9)*(1-$B$4)+$C$9:$G$9-$C$10:$G$10-$C$11:$G$11)+$B$5*(1+$B42)^($C$7:$G$7-1)*$C$12:$G$12)+$B$5*(1+$B42)^5*(H$36-$G$9)*(1-$B$4)*(1+$B$16)*(1-$B$16/$B$17)/($B$15-$B$16)/(1+$B$15)^4.5-$B$18+$B$19)/$B$20</f>
        <v>703.482481536489</v>
      </c>
    </row>
    <row r="43" customFormat="false" ht="15" hidden="false" customHeight="true" outlineLevel="0" collapsed="false">
      <c r="B43" s="39" t="n">
        <v>0.18</v>
      </c>
      <c r="C43" s="26" t="n">
        <f aca="false">(SUMPRODUCT($C$8:$G$8,1/(1+$B$15)^$C$13:$G$13,$B$5*(1+$B43)^$C$7:$G$7*((C$36-$C$9:$G$9)*(1-$B$4)+$C$9:$G$9-$C$10:$G$10-$C$11:$G$11)+$B$5*(1+$B43)^($C$7:$G$7-1)*$C$12:$G$12)+$B$5*(1+$B43)^5*(C$36-$G$9)*(1-$B$4)*(1+$B$16)*(1-$B$16/$B$17)/($B$15-$B$16)/(1+$B$15)^4.5-$B$18+$B$19)/$B$20</f>
        <v>172.22511578378</v>
      </c>
      <c r="D43" s="26" t="n">
        <f aca="false">(SUMPRODUCT($C$8:$G$8,1/(1+$B$15)^$C$13:$G$13,$B$5*(1+$B43)^$C$7:$G$7*((D$36-$C$9:$G$9)*(1-$B$4)+$C$9:$G$9-$C$10:$G$10-$C$11:$G$11)+$B$5*(1+$B43)^($C$7:$G$7-1)*$C$12:$G$12)+$B$5*(1+$B43)^5*(D$36-$G$9)*(1-$B$4)*(1+$B$16)*(1-$B$16/$B$17)/($B$15-$B$16)/(1+$B$15)^4.5-$B$18+$B$19)/$B$20</f>
        <v>292.103473250361</v>
      </c>
      <c r="E43" s="26" t="n">
        <f aca="false">(SUMPRODUCT($C$8:$G$8,1/(1+$B$15)^$C$13:$G$13,$B$5*(1+$B43)^$C$7:$G$7*((E$36-$C$9:$G$9)*(1-$B$4)+$C$9:$G$9-$C$10:$G$10-$C$11:$G$11)+$B$5*(1+$B43)^($C$7:$G$7-1)*$C$12:$G$12)+$B$5*(1+$B43)^5*(E$36-$G$9)*(1-$B$4)*(1+$B$16)*(1-$B$16/$B$17)/($B$15-$B$16)/(1+$B$15)^4.5-$B$18+$B$19)/$B$20</f>
        <v>411.981830716942</v>
      </c>
      <c r="F43" s="26" t="n">
        <f aca="false">(SUMPRODUCT($C$8:$G$8,1/(1+$B$15)^$C$13:$G$13,$B$5*(1+$B43)^$C$7:$G$7*((F$36-$C$9:$G$9)*(1-$B$4)+$C$9:$G$9-$C$10:$G$10-$C$11:$G$11)+$B$5*(1+$B43)^($C$7:$G$7-1)*$C$12:$G$12)+$B$5*(1+$B43)^5*(F$36-$G$9)*(1-$B$4)*(1+$B$16)*(1-$B$16/$B$17)/($B$15-$B$16)/(1+$B$15)^4.5-$B$18+$B$19)/$B$20</f>
        <v>531.860188183523</v>
      </c>
      <c r="G43" s="26" t="n">
        <f aca="false">(SUMPRODUCT($C$8:$G$8,1/(1+$B$15)^$C$13:$G$13,$B$5*(1+$B43)^$C$7:$G$7*((G$36-$C$9:$G$9)*(1-$B$4)+$C$9:$G$9-$C$10:$G$10-$C$11:$G$11)+$B$5*(1+$B43)^($C$7:$G$7-1)*$C$12:$G$12)+$B$5*(1+$B43)^5*(G$36-$G$9)*(1-$B$4)*(1+$B$16)*(1-$B$16/$B$17)/($B$15-$B$16)/(1+$B$15)^4.5-$B$18+$B$19)/$B$20</f>
        <v>651.738545650104</v>
      </c>
      <c r="H43" s="26" t="n">
        <f aca="false">(SUMPRODUCT($C$8:$G$8,1/(1+$B$15)^$C$13:$G$13,$B$5*(1+$B43)^$C$7:$G$7*((H$36-$C$9:$G$9)*(1-$B$4)+$C$9:$G$9-$C$10:$G$10-$C$11:$G$11)+$B$5*(1+$B43)^($C$7:$G$7-1)*$C$12:$G$12)+$B$5*(1+$B43)^5*(H$36-$G$9)*(1-$B$4)*(1+$B$16)*(1-$B$16/$B$17)/($B$15-$B$16)/(1+$B$15)^4.5-$B$18+$B$19)/$B$20</f>
        <v>771.616903116685</v>
      </c>
    </row>
    <row r="44" customFormat="false" ht="15" hidden="false" customHeight="true" outlineLevel="0" collapsed="false">
      <c r="B44" s="39" t="n">
        <v>0.2</v>
      </c>
      <c r="C44" s="26" t="n">
        <f aca="false">(SUMPRODUCT($C$8:$G$8,1/(1+$B$15)^$C$13:$G$13,$B$5*(1+$B44)^$C$7:$G$7*((C$36-$C$9:$G$9)*(1-$B$4)+$C$9:$G$9-$C$10:$G$10-$C$11:$G$11)+$B$5*(1+$B44)^($C$7:$G$7-1)*$C$12:$G$12)+$B$5*(1+$B44)^5*(C$36-$G$9)*(1-$B$4)*(1+$B$16)*(1-$B$16/$B$17)/($B$15-$B$16)/(1+$B$15)^4.5-$B$18+$B$19)/$B$20</f>
        <v>196.784451604255</v>
      </c>
      <c r="D44" s="26" t="n">
        <f aca="false">(SUMPRODUCT($C$8:$G$8,1/(1+$B$15)^$C$13:$G$13,$B$5*(1+$B44)^$C$7:$G$7*((D$36-$C$9:$G$9)*(1-$B$4)+$C$9:$G$9-$C$10:$G$10-$C$11:$G$11)+$B$5*(1+$B44)^($C$7:$G$7-1)*$C$12:$G$12)+$B$5*(1+$B44)^5*(D$36-$G$9)*(1-$B$4)*(1+$B$16)*(1-$B$16/$B$17)/($B$15-$B$16)/(1+$B$15)^4.5-$B$18+$B$19)/$B$20</f>
        <v>326.276794588448</v>
      </c>
      <c r="E44" s="26" t="n">
        <f aca="false">(SUMPRODUCT($C$8:$G$8,1/(1+$B$15)^$C$13:$G$13,$B$5*(1+$B44)^$C$7:$G$7*((E$36-$C$9:$G$9)*(1-$B$4)+$C$9:$G$9-$C$10:$G$10-$C$11:$G$11)+$B$5*(1+$B44)^($C$7:$G$7-1)*$C$12:$G$12)+$B$5*(1+$B44)^5*(E$36-$G$9)*(1-$B$4)*(1+$B$16)*(1-$B$16/$B$17)/($B$15-$B$16)/(1+$B$15)^4.5-$B$18+$B$19)/$B$20</f>
        <v>455.769137572641</v>
      </c>
      <c r="F44" s="26" t="n">
        <f aca="false">(SUMPRODUCT($C$8:$G$8,1/(1+$B$15)^$C$13:$G$13,$B$5*(1+$B44)^$C$7:$G$7*((F$36-$C$9:$G$9)*(1-$B$4)+$C$9:$G$9-$C$10:$G$10-$C$11:$G$11)+$B$5*(1+$B44)^($C$7:$G$7-1)*$C$12:$G$12)+$B$5*(1+$B44)^5*(F$36-$G$9)*(1-$B$4)*(1+$B$16)*(1-$B$16/$B$17)/($B$15-$B$16)/(1+$B$15)^4.5-$B$18+$B$19)/$B$20</f>
        <v>585.261480556833</v>
      </c>
      <c r="G44" s="26" t="n">
        <f aca="false">(SUMPRODUCT($C$8:$G$8,1/(1+$B$15)^$C$13:$G$13,$B$5*(1+$B44)^$C$7:$G$7*((G$36-$C$9:$G$9)*(1-$B$4)+$C$9:$G$9-$C$10:$G$10-$C$11:$G$11)+$B$5*(1+$B44)^($C$7:$G$7-1)*$C$12:$G$12)+$B$5*(1+$B44)^5*(G$36-$G$9)*(1-$B$4)*(1+$B$16)*(1-$B$16/$B$17)/($B$15-$B$16)/(1+$B$15)^4.5-$B$18+$B$19)/$B$20</f>
        <v>714.753823541026</v>
      </c>
      <c r="H44" s="26" t="n">
        <f aca="false">(SUMPRODUCT($C$8:$G$8,1/(1+$B$15)^$C$13:$G$13,$B$5*(1+$B44)^$C$7:$G$7*((H$36-$C$9:$G$9)*(1-$B$4)+$C$9:$G$9-$C$10:$G$10-$C$11:$G$11)+$B$5*(1+$B44)^($C$7:$G$7-1)*$C$12:$G$12)+$B$5*(1+$B44)^5*(H$36-$G$9)*(1-$B$4)*(1+$B$16)*(1-$B$16/$B$17)/($B$15-$B$16)/(1+$B$15)^4.5-$B$18+$B$19)/$B$20</f>
        <v>844.246166525218</v>
      </c>
    </row>
    <row r="45" customFormat="false" ht="15" hidden="false" customHeight="true" outlineLevel="0" collapsed="false">
      <c r="B45" s="39" t="n">
        <v>0.22</v>
      </c>
      <c r="C45" s="26" t="n">
        <f aca="false">(SUMPRODUCT($C$8:$G$8,1/(1+$B$15)^$C$13:$G$13,$B$5*(1+$B45)^$C$7:$G$7*((C$36-$C$9:$G$9)*(1-$B$4)+$C$9:$G$9-$C$10:$G$10-$C$11:$G$11)+$B$5*(1+$B45)^($C$7:$G$7-1)*$C$12:$G$12)+$B$5*(1+$B45)^5*(C$36-$G$9)*(1-$B$4)*(1+$B$16)*(1-$B$16/$B$17)/($B$15-$B$16)/(1+$B$15)^4.5-$B$18+$B$19)/$B$20</f>
        <v>222.926117549736</v>
      </c>
      <c r="D45" s="26" t="n">
        <f aca="false">(SUMPRODUCT($C$8:$G$8,1/(1+$B$15)^$C$13:$G$13,$B$5*(1+$B45)^$C$7:$G$7*((D$36-$C$9:$G$9)*(1-$B$4)+$C$9:$G$9-$C$10:$G$10-$C$11:$G$11)+$B$5*(1+$B45)^($C$7:$G$7-1)*$C$12:$G$12)+$B$5*(1+$B45)^5*(D$36-$G$9)*(1-$B$4)*(1+$B$16)*(1-$B$16/$B$17)/($B$15-$B$16)/(1+$B$15)^4.5-$B$18+$B$19)/$B$20</f>
        <v>362.660314346814</v>
      </c>
      <c r="E45" s="26" t="n">
        <f aca="false">(SUMPRODUCT($C$8:$G$8,1/(1+$B$15)^$C$13:$G$13,$B$5*(1+$B45)^$C$7:$G$7*((E$36-$C$9:$G$9)*(1-$B$4)+$C$9:$G$9-$C$10:$G$10-$C$11:$G$11)+$B$5*(1+$B45)^($C$7:$G$7-1)*$C$12:$G$12)+$B$5*(1+$B45)^5*(E$36-$G$9)*(1-$B$4)*(1+$B$16)*(1-$B$16/$B$17)/($B$15-$B$16)/(1+$B$15)^4.5-$B$18+$B$19)/$B$20</f>
        <v>502.394511143892</v>
      </c>
      <c r="F45" s="26" t="n">
        <f aca="false">(SUMPRODUCT($C$8:$G$8,1/(1+$B$15)^$C$13:$G$13,$B$5*(1+$B45)^$C$7:$G$7*((F$36-$C$9:$G$9)*(1-$B$4)+$C$9:$G$9-$C$10:$G$10-$C$11:$G$11)+$B$5*(1+$B45)^($C$7:$G$7-1)*$C$12:$G$12)+$B$5*(1+$B45)^5*(F$36-$G$9)*(1-$B$4)*(1+$B$16)*(1-$B$16/$B$17)/($B$15-$B$16)/(1+$B$15)^4.5-$B$18+$B$19)/$B$20</f>
        <v>642.12870794097</v>
      </c>
      <c r="G45" s="26" t="n">
        <f aca="false">(SUMPRODUCT($C$8:$G$8,1/(1+$B$15)^$C$13:$G$13,$B$5*(1+$B45)^$C$7:$G$7*((G$36-$C$9:$G$9)*(1-$B$4)+$C$9:$G$9-$C$10:$G$10-$C$11:$G$11)+$B$5*(1+$B45)^($C$7:$G$7-1)*$C$12:$G$12)+$B$5*(1+$B45)^5*(G$36-$G$9)*(1-$B$4)*(1+$B$16)*(1-$B$16/$B$17)/($B$15-$B$16)/(1+$B$15)^4.5-$B$18+$B$19)/$B$20</f>
        <v>781.862904738048</v>
      </c>
      <c r="H45" s="26" t="n">
        <f aca="false">(SUMPRODUCT($C$8:$G$8,1/(1+$B$15)^$C$13:$G$13,$B$5*(1+$B45)^$C$7:$G$7*((H$36-$C$9:$G$9)*(1-$B$4)+$C$9:$G$9-$C$10:$G$10-$C$11:$G$11)+$B$5*(1+$B45)^($C$7:$G$7-1)*$C$12:$G$12)+$B$5*(1+$B45)^5*(H$36-$G$9)*(1-$B$4)*(1+$B$16)*(1-$B$16/$B$17)/($B$15-$B$16)/(1+$B$15)^4.5-$B$18+$B$19)/$B$20</f>
        <v>921.597101535126</v>
      </c>
    </row>
    <row r="47" customFormat="false" ht="15" hidden="false" customHeight="true" outlineLevel="0" collapsed="false">
      <c r="A47" s="3" t="s">
        <v>254</v>
      </c>
    </row>
  </sheetData>
  <conditionalFormatting sqref="C25:H33">
    <cfRule type="cellIs" priority="2" operator="greaterThanOrEqual" aboveAverage="0" equalAverage="0" bottom="0" percent="0" rank="0" text="" dxfId="0">
      <formula>$B$21</formula>
    </cfRule>
  </conditionalFormatting>
  <conditionalFormatting sqref="C37:H45">
    <cfRule type="cellIs" priority="3" operator="greaterThanOrEqual" aboveAverage="0" equalAverage="0" bottom="0" percent="0" rank="0" text="" dxfId="0">
      <formula>$B$21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2026-09-30T19:55:13Z</dcterms:created>
  <dc:creator>openpyxl</dc:creator>
  <dc:description/>
  <dc:language>en-US</dc:language>
  <cp:lastModifiedBy/>
  <dcterms:modified xsi:type="dcterms:W3CDTF">2026-09-30T19:55:22Z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